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hs-my.sharepoint.com/personal/pedehoff_health_ucsd_edu/Documents/Projects/Exosomes/CopyPatterns_DiFI/Figures/"/>
    </mc:Choice>
  </mc:AlternateContent>
  <xr:revisionPtr revIDLastSave="50" documentId="11_3E241497668FF9A90976987EC3BBFDE0BB536BE8" xr6:coauthVersionLast="47" xr6:coauthVersionMax="47" xr10:uidLastSave="{0909D37E-D837-4E2D-8E67-92477CA21494}"/>
  <bookViews>
    <workbookView xWindow="57480" yWindow="-120" windowWidth="38640" windowHeight="21120" tabRatio="805" activeTab="11" xr2:uid="{00000000-000D-0000-FFFF-FFFF00000000}"/>
  </bookViews>
  <sheets>
    <sheet name="Table S2A" sheetId="1" r:id="rId1"/>
    <sheet name="Table S2B" sheetId="2" r:id="rId2"/>
    <sheet name="Table S2C" sheetId="3" r:id="rId3"/>
    <sheet name="Table S2D" sheetId="4" r:id="rId4"/>
    <sheet name="Table S2E" sheetId="5" r:id="rId5"/>
    <sheet name="Table S2F" sheetId="6" r:id="rId6"/>
    <sheet name="Table S2G" sheetId="7" r:id="rId7"/>
    <sheet name="Table S2H" sheetId="8" r:id="rId8"/>
    <sheet name="Table S2I" sheetId="9" r:id="rId9"/>
    <sheet name="Table S2J" sheetId="10" r:id="rId10"/>
    <sheet name="Table S2K" sheetId="11" r:id="rId11"/>
    <sheet name="Table S2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D5" i="4"/>
  <c r="C5" i="4"/>
  <c r="B5" i="4"/>
  <c r="I20" i="4" l="1"/>
  <c r="J9" i="9"/>
  <c r="K9" i="9" s="1"/>
  <c r="F9" i="9"/>
  <c r="G9" i="9" s="1"/>
  <c r="J8" i="9"/>
  <c r="K8" i="9" s="1"/>
  <c r="F8" i="9"/>
  <c r="G8" i="9" s="1"/>
  <c r="K7" i="9"/>
  <c r="J7" i="9"/>
  <c r="F7" i="9"/>
  <c r="G7" i="9" s="1"/>
  <c r="K6" i="9"/>
  <c r="J6" i="9"/>
  <c r="F6" i="9"/>
  <c r="J5" i="9"/>
  <c r="K5" i="9" s="1"/>
  <c r="G5" i="9"/>
  <c r="F5" i="9"/>
  <c r="J4" i="9"/>
  <c r="K4" i="9" s="1"/>
  <c r="F4" i="9"/>
  <c r="G4" i="9" s="1"/>
  <c r="B31" i="5"/>
  <c r="C18" i="5"/>
  <c r="I10" i="4" s="1"/>
  <c r="C16" i="5"/>
  <c r="J9" i="4" s="1"/>
  <c r="C15" i="5"/>
  <c r="D10" i="4"/>
  <c r="P7" i="4"/>
  <c r="O7" i="4"/>
  <c r="N7" i="4"/>
  <c r="J7" i="4"/>
  <c r="I7" i="4"/>
  <c r="H7" i="4"/>
  <c r="D7" i="4"/>
  <c r="C7" i="4"/>
  <c r="B7" i="4"/>
  <c r="P6" i="4"/>
  <c r="O6" i="4"/>
  <c r="N6" i="4"/>
  <c r="J6" i="4"/>
  <c r="I6" i="4"/>
  <c r="H6" i="4"/>
  <c r="D6" i="4"/>
  <c r="C6" i="4"/>
  <c r="B6" i="4"/>
  <c r="P5" i="4"/>
  <c r="O5" i="4"/>
  <c r="O19" i="4" s="1"/>
  <c r="N5" i="4"/>
  <c r="J5" i="4"/>
  <c r="I5" i="4"/>
  <c r="I6" i="3"/>
  <c r="J6" i="3" s="1"/>
  <c r="H6" i="3"/>
  <c r="I5" i="3"/>
  <c r="J5" i="3" s="1"/>
  <c r="H5" i="3"/>
  <c r="J4" i="3"/>
  <c r="I4" i="3"/>
  <c r="H4" i="3"/>
  <c r="AB25" i="2"/>
  <c r="AA25" i="2"/>
  <c r="R25" i="2"/>
  <c r="Q25" i="2"/>
  <c r="H25" i="2"/>
  <c r="G25" i="2"/>
  <c r="AB24" i="2"/>
  <c r="AA24" i="2"/>
  <c r="R24" i="2"/>
  <c r="Q24" i="2"/>
  <c r="H24" i="2"/>
  <c r="G24" i="2"/>
  <c r="AB23" i="2"/>
  <c r="AA23" i="2"/>
  <c r="R23" i="2"/>
  <c r="Q23" i="2"/>
  <c r="H23" i="2"/>
  <c r="G23" i="2"/>
  <c r="AB22" i="2"/>
  <c r="AA22" i="2"/>
  <c r="R22" i="2"/>
  <c r="Q22" i="2"/>
  <c r="H22" i="2"/>
  <c r="G22" i="2"/>
  <c r="AB21" i="2"/>
  <c r="AA21" i="2"/>
  <c r="R21" i="2"/>
  <c r="Q21" i="2"/>
  <c r="H21" i="2"/>
  <c r="G21" i="2"/>
  <c r="AB20" i="2"/>
  <c r="AA20" i="2"/>
  <c r="R20" i="2"/>
  <c r="Q20" i="2"/>
  <c r="H20" i="2"/>
  <c r="G20" i="2"/>
  <c r="AB19" i="2"/>
  <c r="AA19" i="2"/>
  <c r="R19" i="2"/>
  <c r="Q19" i="2"/>
  <c r="H19" i="2"/>
  <c r="G19" i="2"/>
  <c r="AB18" i="2"/>
  <c r="AA18" i="2"/>
  <c r="R18" i="2"/>
  <c r="Q18" i="2"/>
  <c r="H18" i="2"/>
  <c r="G18" i="2"/>
  <c r="AB17" i="2"/>
  <c r="AA17" i="2"/>
  <c r="R17" i="2"/>
  <c r="Q17" i="2"/>
  <c r="H17" i="2"/>
  <c r="G17" i="2"/>
  <c r="AB16" i="2"/>
  <c r="AA16" i="2"/>
  <c r="R16" i="2"/>
  <c r="Q16" i="2"/>
  <c r="H16" i="2"/>
  <c r="G16" i="2"/>
  <c r="AB15" i="2"/>
  <c r="AA15" i="2"/>
  <c r="R15" i="2"/>
  <c r="Q15" i="2"/>
  <c r="H15" i="2"/>
  <c r="G15" i="2"/>
  <c r="AB14" i="2"/>
  <c r="AA14" i="2"/>
  <c r="R14" i="2"/>
  <c r="Q14" i="2"/>
  <c r="H14" i="2"/>
  <c r="G14" i="2"/>
  <c r="AB13" i="2"/>
  <c r="AA13" i="2"/>
  <c r="R13" i="2"/>
  <c r="Q13" i="2"/>
  <c r="H13" i="2"/>
  <c r="G13" i="2"/>
  <c r="AB12" i="2"/>
  <c r="AA12" i="2"/>
  <c r="R12" i="2"/>
  <c r="Q12" i="2"/>
  <c r="H12" i="2"/>
  <c r="G12" i="2"/>
  <c r="AB11" i="2"/>
  <c r="AA11" i="2"/>
  <c r="R11" i="2"/>
  <c r="Q11" i="2"/>
  <c r="H11" i="2"/>
  <c r="G11" i="2"/>
  <c r="AB10" i="2"/>
  <c r="AA10" i="2"/>
  <c r="R10" i="2"/>
  <c r="Q10" i="2"/>
  <c r="H10" i="2"/>
  <c r="G10" i="2"/>
  <c r="AB9" i="2"/>
  <c r="AA9" i="2"/>
  <c r="R9" i="2"/>
  <c r="Q9" i="2"/>
  <c r="H9" i="2"/>
  <c r="G9" i="2"/>
  <c r="AB8" i="2"/>
  <c r="AA8" i="2"/>
  <c r="R8" i="2"/>
  <c r="Q8" i="2"/>
  <c r="H8" i="2"/>
  <c r="G8" i="2"/>
  <c r="AB7" i="2"/>
  <c r="AA7" i="2"/>
  <c r="R7" i="2"/>
  <c r="Q7" i="2"/>
  <c r="H7" i="2"/>
  <c r="G7" i="2"/>
  <c r="AB6" i="2"/>
  <c r="AA6" i="2"/>
  <c r="R6" i="2"/>
  <c r="Q6" i="2"/>
  <c r="H6" i="2"/>
  <c r="G6" i="2"/>
  <c r="AB5" i="2"/>
  <c r="AA5" i="2"/>
  <c r="R5" i="2"/>
  <c r="Q5" i="2"/>
  <c r="H5" i="2"/>
  <c r="G5" i="2"/>
  <c r="I23" i="1"/>
  <c r="G23" i="1"/>
  <c r="F23" i="1"/>
  <c r="E23" i="1"/>
  <c r="I22" i="1"/>
  <c r="H22" i="1"/>
  <c r="G22" i="1"/>
  <c r="F22" i="1"/>
  <c r="I21" i="1"/>
  <c r="G21" i="1"/>
  <c r="E21" i="1"/>
  <c r="I20" i="1"/>
  <c r="H20" i="1"/>
  <c r="G20" i="1"/>
  <c r="F20" i="1"/>
  <c r="I19" i="1"/>
  <c r="H19" i="1"/>
  <c r="G19" i="1"/>
  <c r="E19" i="1"/>
  <c r="F18" i="1"/>
  <c r="I17" i="1"/>
  <c r="H17" i="1"/>
  <c r="G17" i="1"/>
  <c r="E17" i="1"/>
  <c r="I16" i="1"/>
  <c r="H16" i="1"/>
  <c r="G16" i="1"/>
  <c r="F16" i="1"/>
  <c r="I12" i="1"/>
  <c r="I18" i="1" s="1"/>
  <c r="H12" i="1"/>
  <c r="H23" i="1" s="1"/>
  <c r="G12" i="1"/>
  <c r="G18" i="1" s="1"/>
  <c r="F12" i="1"/>
  <c r="F17" i="1" s="1"/>
  <c r="E12" i="1"/>
  <c r="E20" i="1" s="1"/>
  <c r="K11" i="1"/>
  <c r="J11" i="1"/>
  <c r="K10" i="1"/>
  <c r="J10" i="1"/>
  <c r="K9" i="1"/>
  <c r="J9" i="1"/>
  <c r="K8" i="1"/>
  <c r="J8" i="1"/>
  <c r="K7" i="1"/>
  <c r="J7" i="1"/>
  <c r="K6" i="1"/>
  <c r="J6" i="1"/>
  <c r="J12" i="1" s="1"/>
  <c r="K5" i="1"/>
  <c r="J5" i="1"/>
  <c r="K4" i="1"/>
  <c r="J4" i="1"/>
  <c r="H8" i="10"/>
  <c r="H7" i="10"/>
  <c r="H6" i="10"/>
  <c r="H5" i="10"/>
  <c r="H4" i="10"/>
  <c r="H3" i="10"/>
  <c r="J20" i="1" l="1"/>
  <c r="K20" i="1"/>
  <c r="I24" i="1"/>
  <c r="K23" i="1"/>
  <c r="I13" i="4"/>
  <c r="F24" i="1"/>
  <c r="G24" i="1"/>
  <c r="H24" i="1"/>
  <c r="K17" i="1"/>
  <c r="E18" i="1"/>
  <c r="J23" i="1"/>
  <c r="F21" i="1"/>
  <c r="K21" i="1" s="1"/>
  <c r="H10" i="4"/>
  <c r="H13" i="4" s="1"/>
  <c r="H18" i="1"/>
  <c r="H21" i="1"/>
  <c r="J10" i="4"/>
  <c r="G6" i="9"/>
  <c r="E16" i="1"/>
  <c r="J21" i="1"/>
  <c r="C17" i="5"/>
  <c r="C27" i="5" s="1"/>
  <c r="F19" i="1"/>
  <c r="K19" i="1" s="1"/>
  <c r="E22" i="1"/>
  <c r="J19" i="1"/>
  <c r="D9" i="4"/>
  <c r="C19" i="4"/>
  <c r="H9" i="4"/>
  <c r="H12" i="4" s="1"/>
  <c r="I15" i="4" s="1"/>
  <c r="I19" i="4"/>
  <c r="I9" i="4"/>
  <c r="I12" i="4" s="1"/>
  <c r="C26" i="5"/>
  <c r="D26" i="5" s="1"/>
  <c r="J17" i="1"/>
  <c r="E27" i="5" l="1"/>
  <c r="D27" i="5"/>
  <c r="I18" i="4"/>
  <c r="I16" i="4"/>
  <c r="I17" i="4" s="1"/>
  <c r="K18" i="1"/>
  <c r="J18" i="1"/>
  <c r="C30" i="5"/>
  <c r="C29" i="5"/>
  <c r="B10" i="4"/>
  <c r="B13" i="4" s="1"/>
  <c r="K22" i="1"/>
  <c r="J22" i="1"/>
  <c r="P9" i="4"/>
  <c r="C9" i="4"/>
  <c r="C12" i="4" s="1"/>
  <c r="C24" i="5"/>
  <c r="B9" i="4"/>
  <c r="B12" i="4" s="1"/>
  <c r="C23" i="5"/>
  <c r="P10" i="4"/>
  <c r="N10" i="4"/>
  <c r="N13" i="4" s="1"/>
  <c r="N9" i="4"/>
  <c r="N12" i="4" s="1"/>
  <c r="C10" i="4"/>
  <c r="C13" i="4" s="1"/>
  <c r="O10" i="4"/>
  <c r="O13" i="4" s="1"/>
  <c r="C20" i="4"/>
  <c r="O20" i="4"/>
  <c r="C28" i="5"/>
  <c r="K16" i="1"/>
  <c r="J16" i="1"/>
  <c r="E24" i="1"/>
  <c r="O9" i="4"/>
  <c r="O12" i="4" s="1"/>
  <c r="C25" i="5"/>
  <c r="E26" i="5"/>
  <c r="O15" i="4" l="1"/>
  <c r="C31" i="5"/>
  <c r="E23" i="5"/>
  <c r="D23" i="5"/>
  <c r="E24" i="5"/>
  <c r="D24" i="5"/>
  <c r="C15" i="4"/>
  <c r="E25" i="5"/>
  <c r="D25" i="5"/>
  <c r="E29" i="5"/>
  <c r="D29" i="5"/>
  <c r="E30" i="5"/>
  <c r="D30" i="5"/>
  <c r="J24" i="1"/>
  <c r="E28" i="5"/>
  <c r="D28" i="5"/>
  <c r="C18" i="4" l="1"/>
  <c r="C16" i="4"/>
  <c r="C17" i="4" s="1"/>
  <c r="C6" i="5"/>
  <c r="D31" i="5"/>
  <c r="E31" i="5"/>
  <c r="C11" i="5"/>
  <c r="O18" i="4"/>
  <c r="O16" i="4"/>
  <c r="O17" i="4" s="1"/>
  <c r="C8" i="5" l="1"/>
  <c r="C10" i="5"/>
  <c r="C12" i="5" l="1"/>
  <c r="C9" i="5"/>
</calcChain>
</file>

<file path=xl/sharedStrings.xml><?xml version="1.0" encoding="utf-8"?>
<sst xmlns="http://schemas.openxmlformats.org/spreadsheetml/2006/main" count="750" uniqueCount="395">
  <si>
    <t>Comparison</t>
  </si>
  <si>
    <t>Simple</t>
  </si>
  <si>
    <t>Complex</t>
  </si>
  <si>
    <t>NLL (simple)</t>
  </si>
  <si>
    <t>NLL (complex)</t>
  </si>
  <si>
    <t>Δk</t>
  </si>
  <si>
    <t>LRT</t>
  </si>
  <si>
    <t>ΔNLL per parameter</t>
  </si>
  <si>
    <t>p-value</t>
  </si>
  <si>
    <t>ΔBIC</t>
  </si>
  <si>
    <t>Interpretation</t>
  </si>
  <si>
    <t>1A→1B</t>
  </si>
  <si>
    <t>Option 1A</t>
  </si>
  <si>
    <t>Option 1B</t>
  </si>
  <si>
    <t>&lt; 10⁻¹⁰</t>
  </si>
  <si>
    <t>-3312.5</t>
  </si>
  <si>
    <t>Adding D coefficients overwhelmingly supported. All linked models warrant D terms.</t>
  </si>
  <si>
    <t>2A→2B</t>
  </si>
  <si>
    <t>Option 2A</t>
  </si>
  <si>
    <t>Option 2B</t>
  </si>
  <si>
    <t>-3333.8</t>
  </si>
  <si>
    <t>Adding D coefficients to 2-population model overwhelmingly supported.</t>
  </si>
  <si>
    <t>3A→3B</t>
  </si>
  <si>
    <t>Option 3A</t>
  </si>
  <si>
    <t>Option 3B</t>
  </si>
  <si>
    <t>-3262.6</t>
  </si>
  <si>
    <t>Adding D coefficients to 3-population model overwhelmingly supported.</t>
  </si>
  <si>
    <t>1B→2B</t>
  </si>
  <si>
    <t>+0.4</t>
  </si>
  <si>
    <t>2B→3B</t>
  </si>
  <si>
    <t>2.4×10⁻⁵</t>
  </si>
  <si>
    <t>+20.1</t>
  </si>
  <si>
    <t>1B→3B</t>
  </si>
  <si>
    <t>+20.5</t>
  </si>
  <si>
    <t>LRT statistic = 2×(NLL_simple − NLL_complex). ΔNLL per param = (NLL_simple − NLL_complex) / Δk; BIC break-even = ln(N) = 9.80 units per parameter ~ χ²(Δk) under H₀. At N=18,007 the LRT detects all real improvements; BIC (ln(N)=9.80 penalty per parameter) is the correct selection criterion. ΔBIC &lt; 2 = indistinguishable; ΔBIC &gt; 10 = very strong evidence against complex model (Kass &amp; Raftery 1995). Green = strongly  avour complex. Blue = ambiguous (BIC). Red = reject complex by BIC.</t>
  </si>
  <si>
    <t>Raw EV Counts per Replicate</t>
  </si>
  <si>
    <t>Phenotype</t>
  </si>
  <si>
    <t>CD9/PE</t>
  </si>
  <si>
    <t>CD81/PE-Cy7</t>
  </si>
  <si>
    <t>CD63/AF647</t>
  </si>
  <si>
    <t>R1</t>
  </si>
  <si>
    <t>R2</t>
  </si>
  <si>
    <t>R3</t>
  </si>
  <si>
    <t>R4</t>
  </si>
  <si>
    <t>R5</t>
  </si>
  <si>
    <t>Total</t>
  </si>
  <si>
    <t>SD</t>
  </si>
  <si>
    <t>+/+/+</t>
  </si>
  <si>
    <t>+</t>
  </si>
  <si>
    <t>+/+/-</t>
  </si>
  <si>
    <t>-</t>
  </si>
  <si>
    <t>+/-/+</t>
  </si>
  <si>
    <t>+/-/-</t>
  </si>
  <si>
    <t>-/+/+</t>
  </si>
  <si>
    <t>-/+/-</t>
  </si>
  <si>
    <t>-/-/+</t>
  </si>
  <si>
    <t>-/-/-</t>
  </si>
  <si>
    <t>Fraction of Total EVs per Replicate</t>
  </si>
  <si>
    <t>Mean</t>
  </si>
  <si>
    <t>Fractions are live formulas (count ÷ replicate total); updating any count cell automatically recalculates all fractions. R4 had the lowest EV count (N = 2,167) and a markedly lower CD9⁺ fraction (42.2%) relative to R1–R3 and R5 (range: 50.6–52.9%), which contributes to the elevated CV observed for Population 3 mixing fraction estimates. Phenotype notation: CD9/CD81/CD63 positivity indicated as +/−.</t>
  </si>
  <si>
    <t>A</t>
  </si>
  <si>
    <t>B</t>
  </si>
  <si>
    <t>C</t>
  </si>
  <si>
    <t>CD9</t>
  </si>
  <si>
    <t>Fraction (%)</t>
  </si>
  <si>
    <t>CD81</t>
  </si>
  <si>
    <t>CD63</t>
  </si>
  <si>
    <t>Copy Number</t>
  </si>
  <si>
    <t>CD9 Avg</t>
  </si>
  <si>
    <t>Stdev</t>
  </si>
  <si>
    <t>CD81 Avg</t>
  </si>
  <si>
    <t>CD63Avg</t>
  </si>
  <si>
    <t>Avg Copy Number</t>
  </si>
  <si>
    <t>High Copy-Number Tail Analysis — Population Size Estimates (CN &gt;= 9)</t>
  </si>
  <si>
    <t>Metric</t>
  </si>
  <si>
    <t>% of marker+ EVs at CN&gt;=9</t>
  </si>
  <si>
    <t>Conversion: multiply by P(CD9+) = 0.5065  to express as % of all EVs</t>
  </si>
  <si>
    <t>Conversion: multiply by P(CD63+) = 0.2297  to express as % of all EVs</t>
  </si>
  <si>
    <t>% of all EVs (= row above × P(marker+))</t>
  </si>
  <si>
    <t>Population 3 (CD9-high): Mean 1.30% ± 0.51% of all EVs  |  2.56% ± 1.01% of CD9+ EVs  |  CV = 0.396</t>
  </si>
  <si>
    <t>Population 2 (CD63-high): Mean 2.63% ± 0.20% of all EVs  |  11.47% ± 0.87% of CD63+ EVs  |  CV = 0.076</t>
  </si>
  <si>
    <t>Marginal Marker Frequency</t>
  </si>
  <si>
    <t>Marker</t>
  </si>
  <si>
    <t>CV</t>
  </si>
  <si>
    <t>Pooled*</t>
  </si>
  <si>
    <t>P(CD9+)</t>
  </si>
  <si>
    <t>P(CD81+)</t>
  </si>
  <si>
    <t>P(CD63+)</t>
  </si>
  <si>
    <t>* Pooled is different than Mean due to different population sizes across replicas</t>
  </si>
  <si>
    <t>CD9  vs  CD81</t>
  </si>
  <si>
    <t>CD9  vs  CD63</t>
  </si>
  <si>
    <t>CD81  vs  CD63</t>
  </si>
  <si>
    <t>CD81+</t>
  </si>
  <si>
    <t>CD81−</t>
  </si>
  <si>
    <t>Row Total</t>
  </si>
  <si>
    <t>CD63+</t>
  </si>
  <si>
    <t>CD63−</t>
  </si>
  <si>
    <t>CD9+</t>
  </si>
  <si>
    <t>CD9−</t>
  </si>
  <si>
    <t>Col Total</t>
  </si>
  <si>
    <t>Expected counts  (E = N × P(A) × P(B))</t>
  </si>
  <si>
    <t>Chi-square contributions  (O−E)²/E</t>
  </si>
  <si>
    <t>Test Statistics</t>
  </si>
  <si>
    <t>χ²  (df=1)</t>
  </si>
  <si>
    <t>=</t>
  </si>
  <si>
    <t>Significance</t>
  </si>
  <si>
    <t>Cramér's V</t>
  </si>
  <si>
    <t>Odds Ratio</t>
  </si>
  <si>
    <t>D coefficient</t>
  </si>
  <si>
    <t>Part 1 — Summary Statistics</t>
  </si>
  <si>
    <t>Row</t>
  </si>
  <si>
    <t>Parameter</t>
  </si>
  <si>
    <t>Value</t>
  </si>
  <si>
    <t>Excel Formula (in column D)</t>
  </si>
  <si>
    <t>B5</t>
  </si>
  <si>
    <t>Test</t>
  </si>
  <si>
    <t>CD9 × CD81 × CD63 (3-way)</t>
  </si>
  <si>
    <t>Text label only — no calculation</t>
  </si>
  <si>
    <t>B6</t>
  </si>
  <si>
    <t>Chi2</t>
  </si>
  <si>
    <t>Formula: =SUM(D23:D30)
Sum of 8 per-cell chi-square contributions (column D).
Each cell contributes (Observed − Expected)² / Expected.</t>
  </si>
  <si>
    <t>B7</t>
  </si>
  <si>
    <t>df</t>
  </si>
  <si>
    <t>Formula: =8 − 1 − 3 = 4
8 phenotype cells minus 1 (grand total) minus 3 marginal constraints
(one per binary marker: CD9, CD81, CD63).</t>
  </si>
  <si>
    <t>B8</t>
  </si>
  <si>
    <t>p_value</t>
  </si>
  <si>
    <t>Formula: =IFERROR(1-GAMMA.DIST(C6,C7/2,2,TRUE), 1-GAMMADIST(C6,C7/2,2,TRUE))
Right-tail p-value: P(chi-squared(df) &gt;= observed chi-squared).
Uses the incomplete gamma function: p = 1 - GammaCDF(chi2/2, df/2).
GAMMA.DIST = Excel 2010+ name; GAMMADIST = LibreOffice / legacy Excel.
IFERROR tries GAMMA.DIST first and falls back to GAMMADIST automatically.
Works correctly in Excel and LibreOffice without manual changes.</t>
  </si>
  <si>
    <t>B9</t>
  </si>
  <si>
    <t>Formula: =IF(C8&lt;0.001,"***", IF(C8&lt;0.01,"**", IF(C8&lt;0.05,"*","ns")))
Standard significance stars: *** p&lt;0.001 | ** p&lt;0.01 | * p&lt;0.05 | ns</t>
  </si>
  <si>
    <t>B10</t>
  </si>
  <si>
    <t>Cramers_V</t>
  </si>
  <si>
    <t>Formula: =SQRT(C6 / (C15 * 7))
Cramers V = sqrt(chi2 / (N * (k-1))) where k = 8 phenotype categories.
Uses k-1 = 7 as correction (NOT the standard 2x2 formula sqrt(chi2/N) = 0.426).</t>
  </si>
  <si>
    <t>B11</t>
  </si>
  <si>
    <t>Mutual_Info_bits</t>
  </si>
  <si>
    <t>Formula: =SUM(E23:E30)
Sum of per-cell mutual information contributions (column E).
Each cell: (O_i/N) * log2(O_i / E_i). Total in bits.</t>
  </si>
  <si>
    <t>B12</t>
  </si>
  <si>
    <t>Independent</t>
  </si>
  <si>
    <t>Formula: =IF(C8&lt;0.05, "No", "Yes")
Independence rejected when p &lt; alpha = 0.05.
chi2 = 3272, df = 4, p approx 0 → Not independent.</t>
  </si>
  <si>
    <t>Marginal Probabilities (inputs to Expected count formula)</t>
  </si>
  <si>
    <t>B14</t>
  </si>
  <si>
    <t>N  (total EVs)</t>
  </si>
  <si>
    <t>B15</t>
  </si>
  <si>
    <t>p_CD9</t>
  </si>
  <si>
    <t>B16</t>
  </si>
  <si>
    <t>p_CD81</t>
  </si>
  <si>
    <t>B17</t>
  </si>
  <si>
    <t>p_CD63</t>
  </si>
  <si>
    <t>Part 2 — Per-Phenotype Calculations (drives Chi², Cramér's V and Mutual Information above)</t>
  </si>
  <si>
    <t>Phenotype
(CD9/CD81/CD63)</t>
  </si>
  <si>
    <t>Observed
Count  (O)</t>
  </si>
  <si>
    <t>Expected Count
E = N×pA×pB×pC</t>
  </si>
  <si>
    <t>(O−E)²/E
→ χ² contribution</t>
  </si>
  <si>
    <t>P_obs × log₂(P_obs/P_exp)
→ MI contribution (bits)</t>
  </si>
  <si>
    <t>+/+/−</t>
  </si>
  <si>
    <t>+/−/+</t>
  </si>
  <si>
    <t>+/−/−</t>
  </si>
  <si>
    <t>−/+/+</t>
  </si>
  <si>
    <t>−/+/−</t>
  </si>
  <si>
    <t>−/−/+</t>
  </si>
  <si>
    <t>−/−/−</t>
  </si>
  <si>
    <t>TOTAL</t>
  </si>
  <si>
    <t>NOTES:  C15 = N (total EVs; = SUM of observed counts in B23:B30).  C16 = p_CD9, C17 = p_CD81, C18 = p_CD63 — computed from observed counts.  Column C (rows 23–30) = expected counts under full independence: E = N × P(CD9) × P(CD81) × P(CD63).  Column D sums to Chi² (C6).  Column E sums to Mutual Information in bits (C11).  Cramér's V (C10) = SQRT(Chi²/(N×7)) — k=8 phenotype categories, so k−1=7.  All blue cells contain live Excel formulas. Changing observed counts (B23:B30) recalculates everything.</t>
  </si>
  <si>
    <t>General formula per population:  P(i,j,k) = pi·pj·pk + εi·εj · D(CD9/CD81) · pk + εi·εk · D(CD9/CD63) · pj + εj·εk · D(CD81/CD63) · pi</t>
  </si>
  <si>
    <t>Option</t>
  </si>
  <si>
    <t>Assortment
Mode</t>
  </si>
  <si>
    <t>Pop 1
(background)</t>
  </si>
  <si>
    <t>Pop 1 — D terms
(linked only)</t>
  </si>
  <si>
    <t>Pop 2
(CD63-high)</t>
  </si>
  <si>
    <t>Pop 3
(CD9-high)</t>
  </si>
  <si>
    <t>k
(free params)</t>
  </si>
  <si>
    <t>Notes</t>
  </si>
  <si>
    <t>1A</t>
  </si>
  <si>
    <t>pi_A · pj_A · pk_A</t>
  </si>
  <si>
    <t>D(CD9/CD81) = 0
D(CD9/CD63) = 0
D(CD81/CD63) = 0</t>
  </si>
  <si>
    <t>— not modelled —</t>
  </si>
  <si>
    <t>Baseline: all markers assort independently</t>
  </si>
  <si>
    <t>1B</t>
  </si>
  <si>
    <t>Linked</t>
  </si>
  <si>
    <t>+ εi·εj · DA(CD9/CD81) · pk_A
+ εi·εk · DA(CD9/CD63) · pj_A</t>
  </si>
  <si>
    <t>Adds 2 D coefficients to Option 1A</t>
  </si>
  <si>
    <t>2A</t>
  </si>
  <si>
    <t>fA · pi_A · pj_A · pk_A</t>
  </si>
  <si>
    <t>D = 0 (all pairs)</t>
  </si>
  <si>
    <t>fB · pi_B · pj_B · pk_B</t>
  </si>
  <si>
    <t>Pop 2 = CD63-high subpopulation (~2.83% of EVs)</t>
  </si>
  <si>
    <t>2B</t>
  </si>
  <si>
    <t>Pop 1:
+ εi·εj · DA(CD9/CD81) · pk_A
+ εi·εk · DA(CD9/CD63) · pj_A
Pop 2:
+ εi·εj · DB(CD9/CD81) · pk_B</t>
  </si>
  <si>
    <t>fB · pi_B · pj_B · pk_B
+ εi·εj · DB(CD9/CD81) · pk_B</t>
  </si>
  <si>
    <t>Separate D coefficients for each population</t>
  </si>
  <si>
    <t>3A</t>
  </si>
  <si>
    <t>fC · pi_C · pj_C · pk_C</t>
  </si>
  <si>
    <t>Pop 3 = CD9-high subpopulation (~1.81% of EVs)</t>
  </si>
  <si>
    <t>3B</t>
  </si>
  <si>
    <t>Pop 1:
+ εi·εj · DA(CD9/CD81) · pk_A
+ εi·εk · DA(CD9/CD63) · pj_A
Pop 2:
+ εi·εj · DB(CD9/CD81) · pk_B
Pop 3:
+ εj·εk · DC(CD81/CD63) · pi_C</t>
  </si>
  <si>
    <t>fC · pi_C · pj_C · pk_C
+ εj·εk · DC(CD81/CD63) · pi_C</t>
  </si>
  <si>
    <t>Most complex model; rejected by BIC (ΔBIC = 20.5)</t>
  </si>
  <si>
    <t>Notation:  pi_X, pj_X, pk_X = marginal probabilities P(CD9=i), P(CD81=j), P(CD63=k) in population X.  fB, fC = mixing fractions (fraction of all EVs in Pop 2 or C).  DA, DB, DC = linkage disequilibrium coefficient D fitted within each population (absent cell = 0).  εx = +1 if x=+, −1 if x=−.  k = total free parameters.  Blue shading = linked assortment models.</t>
  </si>
  <si>
    <t>Regularization penalizes fB and fC (population mixing fractions) toward their CNV-derived prior values. Options 1A and 1B are omitted — they have no population fraction parameters to regularize. Options 2A and 3A (independent assortment) are included because they also carry fB/fC parameters. LOO-RMSE = leave-one-replicate-out RMSE across 5 technical replicates. Δ = change from reg = 0 baseline. ★ marks the nominal setting used in the analysis (reg = 0.01).</t>
  </si>
  <si>
    <t>Stage A — Coarse Grid  (reg weights: 0, 10, 50, 100, 500, 1000, 2000)</t>
  </si>
  <si>
    <t>Reg
Weight</t>
  </si>
  <si>
    <t>LOO-RMSE</t>
  </si>
  <si>
    <t>Δ</t>
  </si>
  <si>
    <t>0</t>
  </si>
  <si>
    <t>—</t>
  </si>
  <si>
    <t>10</t>
  </si>
  <si>
    <t>50</t>
  </si>
  <si>
    <t>100</t>
  </si>
  <si>
    <t>500</t>
  </si>
  <si>
    <t>1000</t>
  </si>
  <si>
    <t>2000</t>
  </si>
  <si>
    <t>★ = nominal reg weight used in analysis (0.01) — falls between 0 and 10 on this grid; results at reg=10 provide an upper bound on its effect. Blue highlight (reg=0) = optimal weight. Δ = LOO-RMSE minus baseline at reg=0. Green Δ = worsening of fit.</t>
  </si>
  <si>
    <t>Stage B — Fine Grid  (reg weights: 0, 0.001, 0.01, 0.1, 0.5, 1.0)</t>
  </si>
  <si>
    <t>0.001</t>
  </si>
  <si>
    <t>0.01 ★</t>
  </si>
  <si>
    <t>0.1</t>
  </si>
  <si>
    <t>0.5</t>
  </si>
  <si>
    <t>1</t>
  </si>
  <si>
    <t>★ = nominal reg weight (0.01). LOO-RMSE difference from baseline at this setting: 2A: +0.0001 (+0.00005%),  2B: +0.0001 (+0.0002%),  3A: −0.0001 (−0.00005%),  3B: +0.0037 (+0.006%). All changes are below the LOO-RMSE standard deviation (~17–19 units) by a factor of &gt;1,000. Conclusion: reg = 0.01 is functionally equivalent to reg = 0 for all four models.</t>
  </si>
  <si>
    <t>Maximum % Change in LOO-RMSE Across Full Weight Range (reg=0 to reg=2000)</t>
  </si>
  <si>
    <t>Model</t>
  </si>
  <si>
    <t>Baseline LOO-RMSE (reg=0)</t>
  </si>
  <si>
    <t>Max ΔRMSE (at reg=2000)</t>
  </si>
  <si>
    <t>Max % Change</t>
  </si>
  <si>
    <t>2A (Independent)</t>
  </si>
  <si>
    <t>No meaningful change — penalty has near-zero leverage</t>
  </si>
  <si>
    <t>2B (Linked ★)</t>
  </si>
  <si>
    <t>Largest % change; still &lt;0.25% — negligible</t>
  </si>
  <si>
    <t>3A (Independent)</t>
  </si>
  <si>
    <t>Moderate Δ but &lt;0.8% — within RMSE noise</t>
  </si>
  <si>
    <t>3B (Linked)</t>
  </si>
  <si>
    <t>Regularized params</t>
  </si>
  <si>
    <t>f_B deviation</t>
  </si>
  <si>
    <t>f_C deviation</t>
  </si>
  <si>
    <t>Total penalty (NLL units)</t>
  </si>
  <si>
    <t>Total NLL</t>
  </si>
  <si>
    <t>Penalty / NLL</t>
  </si>
  <si>
    <t>f_B only</t>
  </si>
  <si>
    <t>N/A</t>
  </si>
  <si>
    <t>1.51 × 10⁻⁷</t>
  </si>
  <si>
    <t>4.5 × 10⁻¹²</t>
  </si>
  <si>
    <t>4.7 × 10⁻¹²</t>
  </si>
  <si>
    <t>f_B and f_C</t>
  </si>
  <si>
    <t>1.52 × 10⁻⁷</t>
  </si>
  <si>
    <t>4.8 × 10⁻¹²</t>
  </si>
  <si>
    <t>L2 Regularization: Design, Testing, and Determination of Optimal Weight = 0</t>
  </si>
  <si>
    <t>Information Criteria</t>
  </si>
  <si>
    <t>LOO Cross-Validation</t>
  </si>
  <si>
    <t>Selection</t>
  </si>
  <si>
    <t>Assortment</t>
  </si>
  <si>
    <t>k
(params)</t>
  </si>
  <si>
    <t>AIC</t>
  </si>
  <si>
    <t>ΔAIC</t>
  </si>
  <si>
    <t>Raw AIC Weight
exp(−0.5×ΔAIC)</t>
  </si>
  <si>
    <t>AIC Posterior
Weight %</t>
  </si>
  <si>
    <t>BIC</t>
  </si>
  <si>
    <t>Raw BIC Weight
exp(−0.5×ΔBIC)</t>
  </si>
  <si>
    <t>BIC Posterior
Weight %</t>
  </si>
  <si>
    <t>χ²_GOF</t>
  </si>
  <si>
    <t>In-sample
RMSE</t>
  </si>
  <si>
    <t>In-sample
R²</t>
  </si>
  <si>
    <t>LOO-RMSE
± SD</t>
  </si>
  <si>
    <t>LOO-R²</t>
  </si>
  <si>
    <t>D(CD9/CD81)
CV</t>
  </si>
  <si>
    <t>fB CV</t>
  </si>
  <si>
    <t>196.7 ± 60.0</t>
  </si>
  <si>
    <t>Excluded</t>
  </si>
  <si>
    <t>68.0 ± 17.3</t>
  </si>
  <si>
    <t>0.122</t>
  </si>
  <si>
    <t>BIC best</t>
  </si>
  <si>
    <t>196.7 ± 59.9</t>
  </si>
  <si>
    <t>65.5 ± 18.4</t>
  </si>
  <si>
    <t>0.123</t>
  </si>
  <si>
    <t>0.141</t>
  </si>
  <si>
    <t>★ Preferred</t>
  </si>
  <si>
    <t>193.7 ± 59.1</t>
  </si>
  <si>
    <t>0.110</t>
  </si>
  <si>
    <t>63.9 ± 19.1</t>
  </si>
  <si>
    <t>0.121</t>
  </si>
  <si>
    <t>AIC best</t>
  </si>
  <si>
    <t>k = free parameters.  ΔAIC = AIC(model) − min(AIC); reference = Option 3B.  ΔBIC = BIC(model) − min(BIC); reference = Option 1B.  Raw AIC Weight = exp(−0.5 × ΔAIC); computed by live Excel formula in column F.  AIC Posterior Weight % = AIC Weight / Σ(all AIC Weights) × 100; live formula in column G — values sum to 100% across all six models.  Raw BIC Weight = exp(−0.5 × ΔBIC); computed by live Excel formula in column J.  BIC Posterior Weight % = BIC Weight / Σ(all BIC Weights) × 100; live formula in column K — values sum to 100% across all six models.  χ²_GOF = in-sample Pearson goodness-of-fit chi-square.  In-sample RMSE and R² measure fit to estimation data.  LOO-RMSE ± SD and LOO-R² measure predictive accuracy on held-out replicates (5-fold LOO).  D(CD9/CD81) CV = coefficient of variation of CD9–CD81 linkage coefficient across 5 replicate fits.  fB CV = CV of Population 2 mixing fraction across replicates.  Green shading = BIC-best parsimonious model (1B).  Blue shading = biologically preferred model (2B).  Gold shading = AIC-best model (3B).</t>
  </si>
  <si>
    <t>Observed Data (pooled)</t>
  </si>
  <si>
    <t>Option 1A
Independent, 1 population
k=3 | Excluded</t>
  </si>
  <si>
    <t>Option 1B
Linked, 1 population
k=5 | BIC-best</t>
  </si>
  <si>
    <t>Option 2A
Independent, 2 populations
k=7 | Excluded</t>
  </si>
  <si>
    <t>Option 2B
Linked, 2 populations
k=10 | ★ Preferred</t>
  </si>
  <si>
    <t>Option 3A
Independent, 3 populations
k=11 | Excluded</t>
  </si>
  <si>
    <t>Option 3B
Linked, 3 populations
k=15 | AIC-best</t>
  </si>
  <si>
    <t>Observed
n</t>
  </si>
  <si>
    <t>Observed
%</t>
  </si>
  <si>
    <t>Observed
SD†</t>
  </si>
  <si>
    <t>Predicted
%</t>
  </si>
  <si>
    <t>Predicted
SD‡</t>
  </si>
  <si>
    <t>Predicted
n</t>
  </si>
  <si>
    <t>95% CI
Low %</t>
  </si>
  <si>
    <t>95% CI
High %</t>
  </si>
  <si>
    <t>χ²_GOF (df)</t>
  </si>
  <si>
    <t>3272.4 (df=5)</t>
  </si>
  <si>
    <t>136.2 (df=2)</t>
  </si>
  <si>
    <t>3256.4 (df=1)</t>
  </si>
  <si>
    <t>90.4 (df=-2)</t>
  </si>
  <si>
    <t>3170.5 (df=-3)</t>
  </si>
  <si>
    <t>61.8 (df=-7)</t>
  </si>
  <si>
    <t>† Observed SD = sample standard deviation of per-replicate phenotype frequencies across 5 technical replicates (ddof=1).  ‡ Predicted SD = (95% CI upper − 95% CI lower) / 3.92, derived from bootstrap 95% CI under the normal approximation.  95% CI = profile likelihood confidence interval on predicted phenotype frequency.  Red bold predicted % = observed frequency falls outside the model's 95% CI.  df_GOF = 8 phenotype bins − k free parameters; negative df indicates model has more parameters than phenotype bins.  All six models show all phenotypes within their 95% CIs.  Linked models (1B, 2B, 3B) show dramatically lower χ²_GOF than independent models (1A, 2A, 3A), confirming that the D linkage parameter is required to account for CD9–CD81 co-occurrence.</t>
  </si>
  <si>
    <t>Marker Pair</t>
  </si>
  <si>
    <t>Population</t>
  </si>
  <si>
    <t>D (MLE)</t>
  </si>
  <si>
    <t>SD
(per-replicate)</t>
  </si>
  <si>
    <t>% of
D_max</t>
  </si>
  <si>
    <t>Profile CI
95% Lower</t>
  </si>
  <si>
    <t>Profile CI
95% Upper</t>
  </si>
  <si>
    <t>Bootstrap CI
95% Lower</t>
  </si>
  <si>
    <t>Bootstrap CI
95% Upper</t>
  </si>
  <si>
    <t>CD9/CD81</t>
  </si>
  <si>
    <t>Pop 1</t>
  </si>
  <si>
    <t>+0.097927</t>
  </si>
  <si>
    <t>59.9%</t>
  </si>
  <si>
    <t>+0.094763</t>
  </si>
  <si>
    <t>+0.099826</t>
  </si>
  <si>
    <t>+0.090450</t>
  </si>
  <si>
    <t>+0.105291</t>
  </si>
  <si>
    <t>Strong positive; 60% of D_max. Primary signal.</t>
  </si>
  <si>
    <t>CD9/CD63</t>
  </si>
  <si>
    <t>-0.010355</t>
  </si>
  <si>
    <t>8.9%</t>
  </si>
  <si>
    <t>-0.012254</t>
  </si>
  <si>
    <t>-0.008456</t>
  </si>
  <si>
    <t>-0.016777</t>
  </si>
  <si>
    <t>-0.004489</t>
  </si>
  <si>
    <t>Weak mutual exclusion; 9% of |D_min|.</t>
  </si>
  <si>
    <t>Pop 2</t>
  </si>
  <si>
    <t>+0.163468</t>
  </si>
  <si>
    <t>100.0%</t>
  </si>
  <si>
    <t>+0.157131</t>
  </si>
  <si>
    <t>+0.163458</t>
  </si>
  <si>
    <t>AT theoretical maximum. Saturating co-packaging in Pop 2.</t>
  </si>
  <si>
    <t>+0.095454</t>
  </si>
  <si>
    <t>58.4%</t>
  </si>
  <si>
    <t>+0.092289</t>
  </si>
  <si>
    <t>+0.098619</t>
  </si>
  <si>
    <t>+0.088073</t>
  </si>
  <si>
    <t>+0.103933</t>
  </si>
  <si>
    <t>Strong positive; 58% of D_max. Background population.</t>
  </si>
  <si>
    <t>-0.010493</t>
  </si>
  <si>
    <t>9.0%</t>
  </si>
  <si>
    <t>-0.013657</t>
  </si>
  <si>
    <t>-0.007328</t>
  </si>
  <si>
    <t>-0.016867</t>
  </si>
  <si>
    <t>-0.004557</t>
  </si>
  <si>
    <t>Consistent with 1B estimate.</t>
  </si>
  <si>
    <t>+0.155232</t>
  </si>
  <si>
    <t>AT theoretical maximum. Consistent with 2B.</t>
  </si>
  <si>
    <t>Pop 3</t>
  </si>
  <si>
    <t>[0, 0]</t>
  </si>
  <si>
    <t>0.000000</t>
  </si>
  <si>
    <t>Boundary saturation: P(CD9+)=1 forces φ=0 by construction. Bootstrap CI is a point mass at zero.</t>
  </si>
  <si>
    <t>CD81/CD63</t>
  </si>
  <si>
    <t>+0.153639</t>
  </si>
  <si>
    <t>+0.120724</t>
  </si>
  <si>
    <t>+0.153629</t>
  </si>
  <si>
    <t>Near theoretical maximum (100%). Strong linkage in Pop 3.</t>
  </si>
  <si>
    <t>+0.097470</t>
  </si>
  <si>
    <t>59.6%</t>
  </si>
  <si>
    <t>+0.094306</t>
  </si>
  <si>
    <t>+0.100635</t>
  </si>
  <si>
    <t>+0.090199</t>
  </si>
  <si>
    <t>+0.106002</t>
  </si>
  <si>
    <t>Consistent with 1B and 2B Pop 1.</t>
  </si>
  <si>
    <t>-0.010653</t>
  </si>
  <si>
    <t>9.2%</t>
  </si>
  <si>
    <t>-0.013818</t>
  </si>
  <si>
    <t>-0.007488</t>
  </si>
  <si>
    <t>-0.017859</t>
  </si>
  <si>
    <t>-0.004490</t>
  </si>
  <si>
    <t>Consistent across all linked models.</t>
  </si>
  <si>
    <t>D = P(A+,B+) − P(A+)×P(B+).  D&gt;0: co-occurrence excess.  D&lt;0: mutual exclusion.  SD (per-replicate) = sample standard deviation of D fitted independently to each of 5 technical replicates (ddof=1).  For Pop 2 and Pop 3 parameters at the theoretical boundary, SD reflects boundary saturation across replicates.  % of D_max = |D_MLE| / |D_max| where D_max = min[P(A+)·P(B−), P(B+)·P(A−)].  Profile CIs: grid search with ΔNLL threshold = 1.92 = ½×χ²₀.₀₅(df=1) (Wilks' theorem).  Bootstrap CIs: 1,000 multinomial resamples from pooled data.  Identical upper/lower bootstrap bounds = MLE at theoretical boundary.  Blue = Option 1B.  Green = Option 2B.  Orange = Option 3B.  Gold = SD column.  |  φ (phi) = equivalent LD coefficient used internally; D reported here for all estimable pairs. Rows marked "[0, 0]" indicate boundary saturation: the structural constraint P(CD9+) = 1.0 for Population 3 forces φ(CD9/CD81) and φ(CD9/CD63) to zero by definition. Bootstrap CIs for these parameters are point masses at zero, confirming boundary saturation rather than estimation imprecision; these pairs are excluded from the D column as D is undefined when a marginal probability equals 1.</t>
  </si>
  <si>
    <t>NOTES:  All observed counts link directly to the 8-cell three-way table on the '3-Way Chi-Square' sheet. Pairwise counts are marginal sums (e.g. CD9+ CD81+ = all EVs where CD9=+ and CD81=+, regardless of CD63 status). Marginal probabilities p_CD9, p_CD81, p_CD63 and N also link to '3-Way Chi-Square'!C15:C18. Yellow cells = observed counts (linked). Blue cells = calculated formulas. p-values use IFERROR(1-GAMMA.DIST(...), 1-GAMMADIST(...)) for Excel/LibreOffice compatibility. D coefficient = P(A+,B+) − P(A+)×P(B+) = linkage disequilibrium coefficient.</t>
  </si>
  <si>
    <t>Detectable but &lt;0.9% — no practical effect</t>
  </si>
  <si>
    <t>Pop 2 is detectable by LRT but ΔBIC = 0.4 &lt; 2: models statistically indistinguishable by BIC.</t>
  </si>
  <si>
    <t>Pop 3 detectable by LRT but ΔBIC = 20.1 &gt;&gt; 10: Option 3B strongly rejected by BIC.</t>
  </si>
  <si>
    <t>Both sub-populations detectable but ΔBIC = 20.5 &gt;&gt; 10: Option 3B strongly rejected.</t>
  </si>
  <si>
    <t>Table S2A.  EV Phenotype Counts and Fractions</t>
  </si>
  <si>
    <t>Table S2B</t>
  </si>
  <si>
    <t>CN threshold = 9  |  P(CD9+) = 0.5065 (from Table S2C)</t>
  </si>
  <si>
    <t>CN threshold = 9  |  P(CD63+) = 0.2297 (from Table S2C)</t>
  </si>
  <si>
    <t>CN&gt;=9 threshold identified from bimodal inflection in Charts 5a (CD9) and 5c (CD63). % of all EVs = (% of marker+ EVs at CN&gt;=9) x P(marker+). P(marker+) from Table S2C pooled frequencies. SD computed across 5 replicates (ddof=1).</t>
  </si>
  <si>
    <t>Table S2C</t>
  </si>
  <si>
    <t>Table S2D. Pairwise 2×2 Contingency Tables — Observed, Expected, Chi² and D  |  All counts linked from '3-Way Chi-Square' sheet</t>
  </si>
  <si>
    <t>Table S2E. Three-Way Independence Test: CD9 × CD81 × CD63  |  Excel Formula Reference</t>
  </si>
  <si>
    <t>Table S2F. Candidate Model Formula Table — Population Structure and Assortment Mode</t>
  </si>
  <si>
    <t>Table S2G. L2 Regularization Path Analysis — LOO-RMSE vs Regularization Weight  (All Four Multi-Population Models)</t>
  </si>
  <si>
    <t>Table S2H. L2 Regularization Penalty Summary — Nominal reg_weight = 0.01 (N = 18,007 EVs)</t>
  </si>
  <si>
    <t>Table S2I.  Model Selection — All Six Candidate Models  (N = 18,007 EVs; 5 technical replicates)</t>
  </si>
  <si>
    <t>Table S2J.  Likelihood Ratio Tests — Nested Model Comparisons</t>
  </si>
  <si>
    <t>Table S2K.  Observed vs Predicted Phenotype Frequencies — All Six Candidate Models  (N = 18,007 EVs pooled across 5 technical replicates)</t>
  </si>
  <si>
    <t>Table S2L.  Linkage Disequilibrium Coefficients D — MLE, SD, and 95% Confidence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</si>
</sst>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#,##0.0000"/>
    <numFmt numFmtId="166" formatCode="\+#,##0.0000;\-#,##0.0000;\—"/>
    <numFmt numFmtId="167" formatCode="0.000000"/>
    <numFmt numFmtId="168" formatCode="0.000"/>
    <numFmt numFmtId="169" formatCode="#,##0.0"/>
    <numFmt numFmtId="170" formatCode="0.00\%"/>
    <numFmt numFmtId="171" formatCode="0.0"/>
    <numFmt numFmtId="172" formatCode="\+#,##0.0000"/>
    <numFmt numFmtId="173" formatCode="0.000\%"/>
  </numFmts>
  <fonts count="50" x14ac:knownFonts="1">
    <font>
      <sz val="11"/>
      <color theme="1"/>
      <name val="Aptos Narrow"/>
      <family val="2"/>
      <scheme val="minor"/>
    </font>
    <font>
      <b/>
      <sz val="12"/>
      <color rgb="FF1A1A1A"/>
      <name val="Arial"/>
      <family val="2"/>
    </font>
    <font>
      <b/>
      <sz val="12"/>
      <color theme="1"/>
      <name val="Times New Roman"/>
      <family val="1"/>
    </font>
    <font>
      <i/>
      <sz val="12"/>
      <color rgb="FF666666"/>
      <name val="Arial"/>
      <family val="2"/>
    </font>
    <font>
      <sz val="12"/>
      <color theme="1"/>
      <name val="Aptos Narrow"/>
      <family val="2"/>
      <scheme val="minor"/>
    </font>
    <font>
      <i/>
      <sz val="12"/>
      <color rgb="FF444444"/>
      <name val="Arial"/>
      <family val="2"/>
    </font>
    <font>
      <b/>
      <sz val="12"/>
      <color rgb="FFFFFFFF"/>
      <name val="Arial"/>
      <family val="2"/>
    </font>
    <font>
      <sz val="12"/>
      <color rgb="FF555555"/>
      <name val="Arial"/>
      <family val="2"/>
    </font>
    <font>
      <sz val="12"/>
      <color rgb="FF1A1A1A"/>
      <name val="Arial"/>
      <family val="2"/>
    </font>
    <font>
      <i/>
      <sz val="12"/>
      <color rgb="FFAAAAAA"/>
      <name val="Arial"/>
      <family val="2"/>
    </font>
    <font>
      <b/>
      <i/>
      <sz val="12"/>
      <color rgb="FF1A4A8A"/>
      <name val="Arial"/>
      <family val="2"/>
    </font>
    <font>
      <sz val="12"/>
      <color rgb="FF1A4A8A"/>
      <name val="Arial"/>
      <family val="2"/>
    </font>
    <font>
      <sz val="12"/>
      <color rgb="FF1A5C1A"/>
      <name val="Arial"/>
      <family val="2"/>
    </font>
    <font>
      <b/>
      <sz val="12"/>
      <color rgb="FF8A1A1A"/>
      <name val="Arial"/>
      <family val="2"/>
    </font>
    <font>
      <b/>
      <sz val="12"/>
      <color rgb="FFB86B00"/>
      <name val="Arial"/>
      <family val="2"/>
    </font>
    <font>
      <sz val="12"/>
      <color rgb="FF000066"/>
      <name val="Arial"/>
      <family val="2"/>
    </font>
    <font>
      <b/>
      <sz val="12"/>
      <color rgb="FF1A4A8A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  <charset val="1"/>
    </font>
    <font>
      <sz val="12"/>
      <color rgb="FF666666"/>
      <name val="Arial"/>
      <family val="2"/>
      <charset val="1"/>
    </font>
    <font>
      <b/>
      <sz val="12"/>
      <color rgb="FF1A1A1A"/>
      <name val="Arial"/>
      <family val="2"/>
      <charset val="1"/>
    </font>
    <font>
      <sz val="12"/>
      <color rgb="FF1A1A1A"/>
      <name val="Arial"/>
      <family val="2"/>
      <charset val="1"/>
    </font>
    <font>
      <i/>
      <sz val="12"/>
      <color rgb="FF333333"/>
      <name val="Arial"/>
      <family val="2"/>
      <charset val="1"/>
    </font>
    <font>
      <sz val="12"/>
      <color rgb="FF000066"/>
      <name val="Arial"/>
      <family val="2"/>
      <charset val="1"/>
    </font>
    <font>
      <sz val="12"/>
      <color rgb="FF000000"/>
      <name val="Arial"/>
      <family val="2"/>
      <charset val="1"/>
    </font>
    <font>
      <i/>
      <sz val="12"/>
      <color rgb="FF333333"/>
      <name val="Arial"/>
      <family val="2"/>
    </font>
    <font>
      <i/>
      <sz val="12"/>
      <color rgb="FF666666"/>
      <name val="Arial"/>
      <family val="2"/>
      <charset val="1"/>
    </font>
    <font>
      <b/>
      <sz val="9"/>
      <color rgb="FFFFFFFF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444444"/>
      <name val="Arial"/>
      <family val="2"/>
    </font>
    <font>
      <sz val="12"/>
      <color theme="1"/>
      <name val="Aptos Narrow"/>
      <family val="2"/>
      <charset val="1"/>
    </font>
    <font>
      <sz val="12"/>
      <color rgb="FF8A1A1A"/>
      <name val="Arial"/>
      <family val="2"/>
      <charset val="1"/>
    </font>
    <font>
      <b/>
      <sz val="12"/>
      <color rgb="FF1A4A8A"/>
      <name val="Arial"/>
      <family val="2"/>
      <charset val="1"/>
    </font>
    <font>
      <b/>
      <sz val="12"/>
      <color rgb="FF8A1A1A"/>
      <name val="Arial"/>
      <family val="2"/>
      <charset val="1"/>
    </font>
    <font>
      <b/>
      <sz val="12"/>
      <color rgb="FF1A5C1A"/>
      <name val="Arial"/>
      <family val="2"/>
      <charset val="1"/>
    </font>
    <font>
      <sz val="12"/>
      <color rgb="FFB86B00"/>
      <name val="Arial"/>
      <family val="2"/>
      <charset val="1"/>
    </font>
    <font>
      <sz val="12"/>
      <color rgb="FF1A5C1A"/>
      <name val="Arial"/>
      <family val="2"/>
      <charset val="1"/>
    </font>
    <font>
      <b/>
      <sz val="12"/>
      <color rgb="FFB86B00"/>
      <name val="Arial"/>
      <family val="2"/>
      <charset val="1"/>
    </font>
    <font>
      <b/>
      <sz val="13"/>
      <name val="Arial"/>
      <family val="2"/>
    </font>
    <font>
      <sz val="12"/>
      <color theme="1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2"/>
      <color rgb="FF1A4A8A"/>
      <name val="Arial"/>
      <family val="2"/>
      <charset val="1"/>
    </font>
    <font>
      <i/>
      <sz val="12"/>
      <color rgb="FF8A1A1A"/>
      <name val="Arial"/>
      <family val="2"/>
    </font>
    <font>
      <b/>
      <sz val="11"/>
      <color theme="1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2C2C2C"/>
      </patternFill>
    </fill>
    <fill>
      <patternFill patternType="solid">
        <fgColor rgb="FFF7F7F5"/>
      </patternFill>
    </fill>
    <fill>
      <patternFill patternType="solid">
        <fgColor rgb="FFEEF3FA"/>
      </patternFill>
    </fill>
    <fill>
      <patternFill patternType="solid">
        <fgColor rgb="FFFAFAFA"/>
      </patternFill>
    </fill>
    <fill>
      <patternFill patternType="solid">
        <fgColor rgb="FFF0F0F0"/>
      </patternFill>
    </fill>
    <fill>
      <patternFill patternType="solid">
        <fgColor rgb="FF2C2C2C"/>
        <bgColor rgb="FF333333"/>
      </patternFill>
    </fill>
    <fill>
      <patternFill patternType="solid">
        <fgColor rgb="FFFAFAFA"/>
        <bgColor rgb="FFFFFFFF"/>
      </patternFill>
    </fill>
    <fill>
      <patternFill patternType="solid">
        <fgColor rgb="FF2C5282"/>
        <bgColor rgb="FF1A4A8A"/>
      </patternFill>
    </fill>
    <fill>
      <patternFill patternType="solid">
        <fgColor rgb="FF1A5C1A"/>
        <bgColor rgb="FF3A5A3A"/>
      </patternFill>
    </fill>
    <fill>
      <patternFill patternType="solid">
        <fgColor rgb="FFD6E4F0"/>
        <bgColor rgb="FFE8E8F8"/>
      </patternFill>
    </fill>
    <fill>
      <patternFill patternType="solid">
        <fgColor rgb="FFFFF9E6"/>
        <bgColor rgb="FFF8F8E8"/>
      </patternFill>
    </fill>
    <fill>
      <patternFill patternType="solid">
        <fgColor rgb="FFF2F2F2"/>
        <bgColor rgb="FFF5F5F5"/>
      </patternFill>
    </fill>
    <fill>
      <patternFill patternType="solid">
        <fgColor rgb="FFE8E8F8"/>
        <bgColor rgb="FFE8E8E8"/>
      </patternFill>
    </fill>
    <fill>
      <patternFill patternType="solid">
        <fgColor rgb="FFF0F6FF"/>
        <bgColor rgb="FFEEF3FA"/>
      </patternFill>
    </fill>
    <fill>
      <patternFill patternType="solid">
        <fgColor rgb="FF4A4A4A"/>
        <bgColor rgb="FF555555"/>
      </patternFill>
    </fill>
    <fill>
      <patternFill patternType="solid">
        <fgColor rgb="FF3A3A6A"/>
        <bgColor rgb="FF333333"/>
      </patternFill>
    </fill>
    <fill>
      <patternFill patternType="solid">
        <fgColor rgb="FF555555"/>
        <bgColor rgb="FF666666"/>
      </patternFill>
    </fill>
    <fill>
      <patternFill patternType="solid">
        <fgColor rgb="FFF5F5F5"/>
        <bgColor rgb="FFF0F6FF"/>
      </patternFill>
    </fill>
    <fill>
      <patternFill patternType="solid">
        <fgColor rgb="FFF8F8E8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3A5A3A"/>
        <bgColor rgb="FF555555"/>
      </patternFill>
    </fill>
    <fill>
      <patternFill patternType="solid">
        <fgColor rgb="FFEEF3FA"/>
        <bgColor rgb="FFF0F6FF"/>
      </patternFill>
    </fill>
    <fill>
      <patternFill patternType="solid">
        <fgColor rgb="FFE8E8E8"/>
        <bgColor rgb="FFEEF3FA"/>
      </patternFill>
    </fill>
    <fill>
      <patternFill patternType="solid">
        <fgColor rgb="FF2C2C2C"/>
        <bgColor rgb="FF1A1A1A"/>
      </patternFill>
    </fill>
    <fill>
      <patternFill patternType="solid">
        <fgColor rgb="FF444444"/>
        <bgColor rgb="FF3A3A6A"/>
      </patternFill>
    </fill>
    <fill>
      <patternFill patternType="solid">
        <fgColor rgb="FFD6EAF8"/>
        <bgColor rgb="FFEEF3FA"/>
      </patternFill>
    </fill>
    <fill>
      <patternFill patternType="solid">
        <fgColor rgb="FFFFFFFF"/>
        <bgColor rgb="FFFAFAFA"/>
      </patternFill>
    </fill>
    <fill>
      <patternFill patternType="solid">
        <fgColor rgb="FFEEF3FA"/>
        <bgColor rgb="FFF5F5F5"/>
      </patternFill>
    </fill>
    <fill>
      <patternFill patternType="solid">
        <fgColor rgb="FFFFF9E6"/>
        <bgColor rgb="FFFAFAFA"/>
      </patternFill>
    </fill>
    <fill>
      <patternFill patternType="solid">
        <fgColor rgb="FF3A3A6A"/>
        <bgColor rgb="FF444444"/>
      </patternFill>
    </fill>
    <fill>
      <patternFill patternType="solid">
        <fgColor rgb="FFF5F5F5"/>
        <bgColor rgb="FFEEF3FA"/>
      </patternFill>
    </fill>
    <fill>
      <patternFill patternType="solid">
        <fgColor rgb="FF1A5C2C"/>
        <bgColor rgb="FF1A5C1A"/>
      </patternFill>
    </fill>
    <fill>
      <patternFill patternType="solid">
        <fgColor rgb="FFD6E8FA"/>
        <bgColor rgb="FFEEE8FF"/>
      </patternFill>
    </fill>
    <fill>
      <patternFill patternType="solid">
        <fgColor rgb="FFFDE8E8"/>
        <bgColor rgb="FFF5F0E8"/>
      </patternFill>
    </fill>
    <fill>
      <patternFill patternType="solid">
        <fgColor rgb="FF2C2C5A"/>
        <bgColor rgb="FF444444"/>
      </patternFill>
    </fill>
    <fill>
      <patternFill patternType="solid">
        <fgColor rgb="FF444444"/>
        <bgColor rgb="FF555555"/>
      </patternFill>
    </fill>
    <fill>
      <patternFill patternType="solid">
        <fgColor rgb="FF8B6914"/>
        <bgColor rgb="FFB07020"/>
      </patternFill>
    </fill>
    <fill>
      <patternFill patternType="solid">
        <fgColor rgb="FF2C5282"/>
        <bgColor rgb="FF444444"/>
      </patternFill>
    </fill>
    <fill>
      <patternFill patternType="solid">
        <fgColor rgb="FF5B2D8E"/>
        <bgColor rgb="FF2C2C5A"/>
      </patternFill>
    </fill>
    <fill>
      <patternFill patternType="solid">
        <fgColor rgb="FF1A5C1A"/>
        <bgColor rgb="FF444444"/>
      </patternFill>
    </fill>
    <fill>
      <patternFill patternType="solid">
        <fgColor rgb="FFB07020"/>
        <bgColor rgb="FFB86B00"/>
      </patternFill>
    </fill>
    <fill>
      <patternFill patternType="solid">
        <fgColor rgb="FF8A1A1A"/>
        <bgColor rgb="FF800000"/>
      </patternFill>
    </fill>
    <fill>
      <patternFill patternType="solid">
        <fgColor rgb="FFF0F0F0"/>
        <bgColor rgb="FFF2F2F2"/>
      </patternFill>
    </fill>
    <fill>
      <patternFill patternType="solid">
        <fgColor rgb="FFF5F0E8"/>
        <bgColor rgb="FFF0F0F0"/>
      </patternFill>
    </fill>
    <fill>
      <patternFill patternType="solid">
        <fgColor rgb="FFF0EAF8"/>
        <bgColor rgb="FFEEE8FF"/>
      </patternFill>
    </fill>
    <fill>
      <patternFill patternType="solid">
        <fgColor rgb="FFEAF5EA"/>
        <bgColor rgb="FFF0F0F0"/>
      </patternFill>
    </fill>
    <fill>
      <patternFill patternType="solid">
        <fgColor rgb="FFFDF3E3"/>
        <bgColor rgb="FFF5F0E8"/>
      </patternFill>
    </fill>
    <fill>
      <patternFill patternType="solid">
        <fgColor rgb="FFF2F2F2"/>
        <bgColor rgb="FFF0F0F0"/>
      </patternFill>
    </fill>
    <fill>
      <patternFill patternType="solid">
        <fgColor rgb="FFEEE8FF"/>
        <bgColor rgb="FFF0EAF8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2C2C5A"/>
        <bgColor rgb="FF1F3864"/>
      </patternFill>
    </fill>
    <fill>
      <patternFill patternType="solid">
        <fgColor rgb="FF444444"/>
        <bgColor rgb="FF4A4A4A"/>
      </patternFill>
    </fill>
    <fill>
      <patternFill patternType="solid">
        <fgColor rgb="FF5C2C1A"/>
        <bgColor rgb="FF333333"/>
      </patternFill>
    </fill>
    <fill>
      <patternFill patternType="solid">
        <fgColor rgb="FFEAF0FF"/>
        <bgColor rgb="FFEEF3FA"/>
      </patternFill>
    </fill>
    <fill>
      <patternFill patternType="solid">
        <fgColor rgb="FFD6F0D6"/>
        <bgColor rgb="FFD6EAF8"/>
      </patternFill>
    </fill>
    <fill>
      <patternFill patternType="solid">
        <fgColor rgb="FFD6E8FA"/>
        <bgColor rgb="FFD6EAF8"/>
      </patternFill>
    </fill>
    <fill>
      <patternFill patternType="solid">
        <fgColor rgb="FFFFF0CC"/>
        <bgColor rgb="FFFFF2CC"/>
      </patternFill>
    </fill>
    <fill>
      <patternFill patternType="solid">
        <fgColor rgb="FFFAFAFA"/>
        <bgColor rgb="FFF7F7F5"/>
      </patternFill>
    </fill>
    <fill>
      <patternFill patternType="solid">
        <fgColor rgb="FF555555"/>
        <bgColor rgb="FF4A4A4A"/>
      </patternFill>
    </fill>
    <fill>
      <patternFill patternType="solid">
        <fgColor theme="0"/>
        <bgColor rgb="FFFAFAFA"/>
      </patternFill>
    </fill>
    <fill>
      <patternFill patternType="solid">
        <fgColor rgb="FFBDD7EE"/>
        <bgColor rgb="FFCCCCCC"/>
      </patternFill>
    </fill>
    <fill>
      <patternFill patternType="solid">
        <fgColor rgb="FFD9D9D9"/>
        <bgColor rgb="FFD6E4F0"/>
      </patternFill>
    </fill>
    <fill>
      <patternFill patternType="solid">
        <fgColor rgb="FFFFF8E8"/>
        <bgColor rgb="FFFFF9E6"/>
      </patternFill>
    </fill>
    <fill>
      <patternFill patternType="solid">
        <fgColor rgb="FFFDF3E3"/>
        <bgColor rgb="FFFFF8E8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44444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medium">
        <color rgb="FF88888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CCCCCC"/>
      </right>
      <top style="medium">
        <color rgb="FF888888"/>
      </top>
      <bottom style="medium">
        <color rgb="FF88888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1" fillId="5" borderId="39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4" fillId="0" borderId="0" xfId="0" applyFont="1"/>
    <xf numFmtId="0" fontId="6" fillId="4" borderId="39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left" vertical="center" wrapText="1"/>
    </xf>
    <xf numFmtId="0" fontId="9" fillId="5" borderId="39" xfId="0" applyFont="1" applyFill="1" applyBorder="1" applyAlignment="1">
      <alignment horizontal="left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left" vertical="center" wrapText="1"/>
    </xf>
    <xf numFmtId="0" fontId="10" fillId="6" borderId="39" xfId="0" applyFont="1" applyFill="1" applyBorder="1" applyAlignment="1">
      <alignment horizontal="center" vertical="center" wrapText="1"/>
    </xf>
    <xf numFmtId="0" fontId="8" fillId="6" borderId="39" xfId="0" applyFont="1" applyFill="1" applyBorder="1" applyAlignment="1">
      <alignment horizontal="left" vertical="center" wrapText="1"/>
    </xf>
    <xf numFmtId="0" fontId="11" fillId="6" borderId="39" xfId="0" applyFont="1" applyFill="1" applyBorder="1" applyAlignment="1">
      <alignment horizontal="left" vertical="center" wrapText="1"/>
    </xf>
    <xf numFmtId="0" fontId="5" fillId="6" borderId="39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20" borderId="45" xfId="0" applyFont="1" applyFill="1" applyBorder="1" applyAlignment="1">
      <alignment horizontal="center" vertical="center" wrapText="1"/>
    </xf>
    <xf numFmtId="0" fontId="6" fillId="40" borderId="45" xfId="0" applyFont="1" applyFill="1" applyBorder="1" applyAlignment="1">
      <alignment horizontal="center" vertical="center" wrapText="1"/>
    </xf>
    <xf numFmtId="0" fontId="6" fillId="41" borderId="45" xfId="0" applyFont="1" applyFill="1" applyBorder="1" applyAlignment="1">
      <alignment horizontal="center" vertical="center" wrapText="1"/>
    </xf>
    <xf numFmtId="0" fontId="6" fillId="42" borderId="45" xfId="0" applyFont="1" applyFill="1" applyBorder="1" applyAlignment="1">
      <alignment horizontal="center" vertical="center" wrapText="1"/>
    </xf>
    <xf numFmtId="0" fontId="6" fillId="43" borderId="45" xfId="0" applyFont="1" applyFill="1" applyBorder="1" applyAlignment="1">
      <alignment horizontal="center" vertical="center" wrapText="1"/>
    </xf>
    <xf numFmtId="0" fontId="6" fillId="44" borderId="45" xfId="0" applyFont="1" applyFill="1" applyBorder="1" applyAlignment="1">
      <alignment horizontal="center" vertical="center" wrapText="1"/>
    </xf>
    <xf numFmtId="0" fontId="6" fillId="45" borderId="45" xfId="0" applyFont="1" applyFill="1" applyBorder="1" applyAlignment="1">
      <alignment horizontal="center" vertical="center" wrapText="1"/>
    </xf>
    <xf numFmtId="0" fontId="1" fillId="46" borderId="39" xfId="0" applyFont="1" applyFill="1" applyBorder="1" applyAlignment="1">
      <alignment horizontal="center" vertical="center"/>
    </xf>
    <xf numFmtId="3" fontId="8" fillId="46" borderId="39" xfId="0" applyNumberFormat="1" applyFont="1" applyFill="1" applyBorder="1" applyAlignment="1">
      <alignment horizontal="center" vertical="center"/>
    </xf>
    <xf numFmtId="164" fontId="8" fillId="46" borderId="39" xfId="0" applyNumberFormat="1" applyFont="1" applyFill="1" applyBorder="1" applyAlignment="1">
      <alignment horizontal="center" vertical="center"/>
    </xf>
    <xf numFmtId="164" fontId="13" fillId="37" borderId="48" xfId="0" applyNumberFormat="1" applyFont="1" applyFill="1" applyBorder="1" applyAlignment="1">
      <alignment horizontal="center" vertical="center"/>
    </xf>
    <xf numFmtId="164" fontId="8" fillId="47" borderId="39" xfId="0" applyNumberFormat="1" applyFont="1" applyFill="1" applyBorder="1" applyAlignment="1">
      <alignment horizontal="center" vertical="center"/>
    </xf>
    <xf numFmtId="3" fontId="8" fillId="47" borderId="39" xfId="0" applyNumberFormat="1" applyFont="1" applyFill="1" applyBorder="1" applyAlignment="1">
      <alignment horizontal="center" vertical="center"/>
    </xf>
    <xf numFmtId="164" fontId="8" fillId="36" borderId="48" xfId="0" applyNumberFormat="1" applyFont="1" applyFill="1" applyBorder="1" applyAlignment="1">
      <alignment horizontal="center" vertical="center"/>
    </xf>
    <xf numFmtId="164" fontId="8" fillId="36" borderId="39" xfId="0" applyNumberFormat="1" applyFont="1" applyFill="1" applyBorder="1" applyAlignment="1">
      <alignment horizontal="center" vertical="center"/>
    </xf>
    <xf numFmtId="3" fontId="8" fillId="36" borderId="39" xfId="0" applyNumberFormat="1" applyFont="1" applyFill="1" applyBorder="1" applyAlignment="1">
      <alignment horizontal="center" vertical="center"/>
    </xf>
    <xf numFmtId="164" fontId="8" fillId="48" borderId="39" xfId="0" applyNumberFormat="1" applyFont="1" applyFill="1" applyBorder="1" applyAlignment="1">
      <alignment horizontal="center" vertical="center"/>
    </xf>
    <xf numFmtId="3" fontId="8" fillId="48" borderId="39" xfId="0" applyNumberFormat="1" applyFont="1" applyFill="1" applyBorder="1" applyAlignment="1">
      <alignment horizontal="center" vertical="center"/>
    </xf>
    <xf numFmtId="164" fontId="8" fillId="49" borderId="48" xfId="0" applyNumberFormat="1" applyFont="1" applyFill="1" applyBorder="1" applyAlignment="1">
      <alignment horizontal="center" vertical="center"/>
    </xf>
    <xf numFmtId="164" fontId="8" fillId="49" borderId="39" xfId="0" applyNumberFormat="1" applyFont="1" applyFill="1" applyBorder="1" applyAlignment="1">
      <alignment horizontal="center" vertical="center"/>
    </xf>
    <xf numFmtId="3" fontId="8" fillId="49" borderId="39" xfId="0" applyNumberFormat="1" applyFont="1" applyFill="1" applyBorder="1" applyAlignment="1">
      <alignment horizontal="center" vertical="center"/>
    </xf>
    <xf numFmtId="164" fontId="8" fillId="50" borderId="39" xfId="0" applyNumberFormat="1" applyFont="1" applyFill="1" applyBorder="1" applyAlignment="1">
      <alignment horizontal="center" vertical="center"/>
    </xf>
    <xf numFmtId="3" fontId="8" fillId="50" borderId="39" xfId="0" applyNumberFormat="1" applyFont="1" applyFill="1" applyBorder="1" applyAlignment="1">
      <alignment horizontal="center" vertical="center"/>
    </xf>
    <xf numFmtId="164" fontId="8" fillId="37" borderId="48" xfId="0" applyNumberFormat="1" applyFont="1" applyFill="1" applyBorder="1" applyAlignment="1">
      <alignment horizontal="center" vertical="center"/>
    </xf>
    <xf numFmtId="164" fontId="8" fillId="37" borderId="39" xfId="0" applyNumberFormat="1" applyFont="1" applyFill="1" applyBorder="1" applyAlignment="1">
      <alignment horizontal="center" vertical="center"/>
    </xf>
    <xf numFmtId="3" fontId="8" fillId="37" borderId="39" xfId="0" applyNumberFormat="1" applyFont="1" applyFill="1" applyBorder="1" applyAlignment="1">
      <alignment horizontal="center" vertical="center"/>
    </xf>
    <xf numFmtId="0" fontId="1" fillId="30" borderId="39" xfId="0" applyFont="1" applyFill="1" applyBorder="1" applyAlignment="1">
      <alignment horizontal="center" vertical="center"/>
    </xf>
    <xf numFmtId="3" fontId="8" fillId="30" borderId="39" xfId="0" applyNumberFormat="1" applyFont="1" applyFill="1" applyBorder="1" applyAlignment="1">
      <alignment horizontal="center" vertical="center"/>
    </xf>
    <xf numFmtId="164" fontId="8" fillId="30" borderId="39" xfId="0" applyNumberFormat="1" applyFont="1" applyFill="1" applyBorder="1" applyAlignment="1">
      <alignment horizontal="center" vertical="center"/>
    </xf>
    <xf numFmtId="164" fontId="8" fillId="10" borderId="39" xfId="0" applyNumberFormat="1" applyFont="1" applyFill="1" applyBorder="1" applyAlignment="1">
      <alignment horizontal="center" vertical="center"/>
    </xf>
    <xf numFmtId="3" fontId="8" fillId="10" borderId="39" xfId="0" applyNumberFormat="1" applyFont="1" applyFill="1" applyBorder="1" applyAlignment="1">
      <alignment horizontal="center" vertical="center"/>
    </xf>
    <xf numFmtId="164" fontId="8" fillId="10" borderId="48" xfId="0" applyNumberFormat="1" applyFont="1" applyFill="1" applyBorder="1" applyAlignment="1">
      <alignment horizontal="center" vertical="center"/>
    </xf>
    <xf numFmtId="0" fontId="1" fillId="51" borderId="39" xfId="0" applyFont="1" applyFill="1" applyBorder="1" applyAlignment="1">
      <alignment horizontal="center" vertical="center"/>
    </xf>
    <xf numFmtId="3" fontId="1" fillId="51" borderId="39" xfId="0" applyNumberFormat="1" applyFont="1" applyFill="1" applyBorder="1" applyAlignment="1">
      <alignment horizontal="center" vertical="center"/>
    </xf>
    <xf numFmtId="164" fontId="1" fillId="51" borderId="39" xfId="0" applyNumberFormat="1" applyFont="1" applyFill="1" applyBorder="1" applyAlignment="1">
      <alignment horizontal="center" vertical="center"/>
    </xf>
    <xf numFmtId="0" fontId="4" fillId="51" borderId="39" xfId="0" applyFont="1" applyFill="1" applyBorder="1"/>
    <xf numFmtId="0" fontId="6" fillId="28" borderId="45" xfId="0" applyFont="1" applyFill="1" applyBorder="1" applyAlignment="1">
      <alignment horizontal="center" vertical="center" wrapText="1"/>
    </xf>
    <xf numFmtId="0" fontId="1" fillId="29" borderId="39" xfId="0" applyFont="1" applyFill="1" applyBorder="1" applyAlignment="1">
      <alignment horizontal="center" vertical="center"/>
    </xf>
    <xf numFmtId="165" fontId="16" fillId="29" borderId="39" xfId="0" applyNumberFormat="1" applyFont="1" applyFill="1" applyBorder="1" applyAlignment="1">
      <alignment horizontal="center" vertical="center"/>
    </xf>
    <xf numFmtId="0" fontId="16" fillId="29" borderId="39" xfId="0" applyFont="1" applyFill="1" applyBorder="1" applyAlignment="1">
      <alignment horizontal="center" vertical="center"/>
    </xf>
    <xf numFmtId="0" fontId="8" fillId="30" borderId="39" xfId="0" applyFont="1" applyFill="1" applyBorder="1" applyAlignment="1">
      <alignment horizontal="center" vertical="center"/>
    </xf>
    <xf numFmtId="165" fontId="8" fillId="30" borderId="39" xfId="0" applyNumberFormat="1" applyFont="1" applyFill="1" applyBorder="1" applyAlignment="1">
      <alignment horizontal="center" vertical="center"/>
    </xf>
    <xf numFmtId="166" fontId="8" fillId="30" borderId="39" xfId="0" applyNumberFormat="1" applyFont="1" applyFill="1" applyBorder="1" applyAlignment="1">
      <alignment horizontal="center" vertical="center"/>
    </xf>
    <xf numFmtId="166" fontId="12" fillId="30" borderId="39" xfId="0" applyNumberFormat="1" applyFont="1" applyFill="1" applyBorder="1" applyAlignment="1">
      <alignment horizontal="center" vertical="center"/>
    </xf>
    <xf numFmtId="0" fontId="8" fillId="31" borderId="39" xfId="0" applyFont="1" applyFill="1" applyBorder="1" applyAlignment="1">
      <alignment horizontal="center" vertical="center"/>
    </xf>
    <xf numFmtId="165" fontId="8" fillId="31" borderId="39" xfId="0" applyNumberFormat="1" applyFont="1" applyFill="1" applyBorder="1" applyAlignment="1">
      <alignment horizontal="center" vertical="center"/>
    </xf>
    <xf numFmtId="166" fontId="8" fillId="31" borderId="39" xfId="0" applyNumberFormat="1" applyFont="1" applyFill="1" applyBorder="1" applyAlignment="1">
      <alignment horizontal="center" vertical="center"/>
    </xf>
    <xf numFmtId="166" fontId="12" fillId="31" borderId="39" xfId="0" applyNumberFormat="1" applyFont="1" applyFill="1" applyBorder="1" applyAlignment="1">
      <alignment horizontal="center" vertical="center"/>
    </xf>
    <xf numFmtId="166" fontId="11" fillId="30" borderId="39" xfId="0" applyNumberFormat="1" applyFont="1" applyFill="1" applyBorder="1" applyAlignment="1">
      <alignment horizontal="center" vertical="center"/>
    </xf>
    <xf numFmtId="0" fontId="1" fillId="32" borderId="39" xfId="0" applyFont="1" applyFill="1" applyBorder="1" applyAlignment="1">
      <alignment horizontal="center" vertical="center"/>
    </xf>
    <xf numFmtId="165" fontId="8" fillId="32" borderId="39" xfId="0" applyNumberFormat="1" applyFont="1" applyFill="1" applyBorder="1" applyAlignment="1">
      <alignment horizontal="center" vertical="center"/>
    </xf>
    <xf numFmtId="166" fontId="11" fillId="32" borderId="39" xfId="0" applyNumberFormat="1" applyFont="1" applyFill="1" applyBorder="1" applyAlignment="1">
      <alignment horizontal="center" vertical="center"/>
    </xf>
    <xf numFmtId="166" fontId="8" fillId="32" borderId="3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0" fontId="20" fillId="20" borderId="43" xfId="0" applyFont="1" applyFill="1" applyBorder="1" applyAlignment="1">
      <alignment horizontal="center" vertical="center" wrapText="1"/>
    </xf>
    <xf numFmtId="0" fontId="21" fillId="21" borderId="39" xfId="0" applyFont="1" applyFill="1" applyBorder="1" applyAlignment="1">
      <alignment horizontal="center" vertical="center" wrapText="1"/>
    </xf>
    <xf numFmtId="0" fontId="22" fillId="21" borderId="39" xfId="0" applyFont="1" applyFill="1" applyBorder="1" applyAlignment="1">
      <alignment horizontal="left" vertical="center" wrapText="1"/>
    </xf>
    <xf numFmtId="0" fontId="23" fillId="14" borderId="39" xfId="0" applyFont="1" applyFill="1" applyBorder="1" applyAlignment="1">
      <alignment horizontal="center" vertical="center" wrapText="1"/>
    </xf>
    <xf numFmtId="0" fontId="24" fillId="22" borderId="39" xfId="0" applyFont="1" applyFill="1" applyBorder="1" applyAlignment="1">
      <alignment horizontal="left" vertical="center" wrapText="1"/>
    </xf>
    <xf numFmtId="165" fontId="25" fillId="17" borderId="39" xfId="0" applyNumberFormat="1" applyFont="1" applyFill="1" applyBorder="1" applyAlignment="1">
      <alignment horizontal="center" vertical="center" wrapText="1"/>
    </xf>
    <xf numFmtId="1" fontId="26" fillId="23" borderId="39" xfId="0" applyNumberFormat="1" applyFont="1" applyFill="1" applyBorder="1" applyAlignment="1">
      <alignment horizontal="center" vertical="center" wrapText="1"/>
    </xf>
    <xf numFmtId="11" fontId="15" fillId="17" borderId="39" xfId="0" applyNumberFormat="1" applyFont="1" applyFill="1" applyBorder="1" applyAlignment="1">
      <alignment horizontal="center" vertical="center" wrapText="1"/>
    </xf>
    <xf numFmtId="0" fontId="27" fillId="22" borderId="39" xfId="0" applyFont="1" applyFill="1" applyBorder="1" applyAlignment="1">
      <alignment horizontal="left" vertical="center" wrapText="1"/>
    </xf>
    <xf numFmtId="0" fontId="15" fillId="17" borderId="39" xfId="0" applyFont="1" applyFill="1" applyBorder="1" applyAlignment="1">
      <alignment horizontal="center" vertical="center" wrapText="1"/>
    </xf>
    <xf numFmtId="164" fontId="25" fillId="17" borderId="39" xfId="0" applyNumberFormat="1" applyFont="1" applyFill="1" applyBorder="1" applyAlignment="1">
      <alignment horizontal="center" vertical="center" wrapText="1"/>
    </xf>
    <xf numFmtId="3" fontId="25" fillId="17" borderId="39" xfId="0" applyNumberFormat="1" applyFont="1" applyFill="1" applyBorder="1" applyAlignment="1">
      <alignment horizontal="center" vertical="center" wrapText="1"/>
    </xf>
    <xf numFmtId="0" fontId="25" fillId="17" borderId="39" xfId="0" applyFont="1" applyFill="1" applyBorder="1" applyAlignment="1">
      <alignment horizontal="left" vertical="center" wrapText="1"/>
    </xf>
    <xf numFmtId="167" fontId="25" fillId="17" borderId="39" xfId="0" applyNumberFormat="1" applyFont="1" applyFill="1" applyBorder="1" applyAlignment="1">
      <alignment horizontal="center" vertical="center" wrapText="1"/>
    </xf>
    <xf numFmtId="0" fontId="20" fillId="24" borderId="43" xfId="0" applyFont="1" applyFill="1" applyBorder="1" applyAlignment="1">
      <alignment horizontal="center" vertical="center" wrapText="1"/>
    </xf>
    <xf numFmtId="0" fontId="22" fillId="25" borderId="39" xfId="0" applyFont="1" applyFill="1" applyBorder="1" applyAlignment="1">
      <alignment horizontal="center" vertical="center" wrapText="1"/>
    </xf>
    <xf numFmtId="3" fontId="23" fillId="25" borderId="39" xfId="0" applyNumberFormat="1" applyFont="1" applyFill="1" applyBorder="1" applyAlignment="1">
      <alignment horizontal="center" vertical="center" wrapText="1"/>
    </xf>
    <xf numFmtId="0" fontId="22" fillId="23" borderId="39" xfId="0" applyFont="1" applyFill="1" applyBorder="1" applyAlignment="1">
      <alignment horizontal="center" vertical="center" wrapText="1"/>
    </xf>
    <xf numFmtId="3" fontId="23" fillId="23" borderId="39" xfId="0" applyNumberFormat="1" applyFont="1" applyFill="1" applyBorder="1" applyAlignment="1">
      <alignment horizontal="center" vertical="center" wrapText="1"/>
    </xf>
    <xf numFmtId="0" fontId="22" fillId="26" borderId="39" xfId="0" applyFont="1" applyFill="1" applyBorder="1" applyAlignment="1">
      <alignment horizontal="center" vertical="center" wrapText="1"/>
    </xf>
    <xf numFmtId="0" fontId="6" fillId="11" borderId="42" xfId="0" applyFont="1" applyFill="1" applyBorder="1" applyAlignment="1">
      <alignment horizontal="center" vertical="center" wrapText="1"/>
    </xf>
    <xf numFmtId="0" fontId="6" fillId="12" borderId="42" xfId="0" applyFont="1" applyFill="1" applyBorder="1" applyAlignment="1">
      <alignment horizontal="center" vertical="center" wrapText="1"/>
    </xf>
    <xf numFmtId="0" fontId="6" fillId="18" borderId="42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3" fontId="15" fillId="14" borderId="42" xfId="0" applyNumberFormat="1" applyFont="1" applyFill="1" applyBorder="1" applyAlignment="1">
      <alignment horizontal="center" vertical="center" wrapText="1"/>
    </xf>
    <xf numFmtId="3" fontId="15" fillId="15" borderId="42" xfId="0" applyNumberFormat="1" applyFont="1" applyFill="1" applyBorder="1" applyAlignment="1">
      <alignment horizontal="center" vertical="center" wrapText="1"/>
    </xf>
    <xf numFmtId="0" fontId="1" fillId="15" borderId="42" xfId="0" applyFont="1" applyFill="1" applyBorder="1" applyAlignment="1">
      <alignment horizontal="center" vertical="center" wrapText="1"/>
    </xf>
    <xf numFmtId="4" fontId="15" fillId="17" borderId="42" xfId="0" applyNumberFormat="1" applyFont="1" applyFill="1" applyBorder="1" applyAlignment="1">
      <alignment horizontal="center" vertical="center" wrapText="1"/>
    </xf>
    <xf numFmtId="4" fontId="15" fillId="15" borderId="42" xfId="0" applyNumberFormat="1" applyFont="1" applyFill="1" applyBorder="1" applyAlignment="1">
      <alignment horizontal="center" vertical="center" wrapText="1"/>
    </xf>
    <xf numFmtId="165" fontId="15" fillId="17" borderId="42" xfId="0" applyNumberFormat="1" applyFont="1" applyFill="1" applyBorder="1" applyAlignment="1">
      <alignment horizontal="center" vertical="center" wrapText="1"/>
    </xf>
    <xf numFmtId="0" fontId="8" fillId="15" borderId="42" xfId="0" applyFont="1" applyFill="1" applyBorder="1" applyAlignment="1">
      <alignment horizontal="right" vertical="center" wrapText="1"/>
    </xf>
    <xf numFmtId="0" fontId="8" fillId="15" borderId="42" xfId="0" applyFont="1" applyFill="1" applyBorder="1" applyAlignment="1">
      <alignment horizontal="center" vertical="center" wrapText="1"/>
    </xf>
    <xf numFmtId="0" fontId="19" fillId="0" borderId="0" xfId="0" applyFont="1"/>
    <xf numFmtId="0" fontId="17" fillId="3" borderId="6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0" fontId="19" fillId="3" borderId="8" xfId="0" applyNumberFormat="1" applyFont="1" applyFill="1" applyBorder="1" applyAlignment="1">
      <alignment vertical="center"/>
    </xf>
    <xf numFmtId="10" fontId="19" fillId="3" borderId="0" xfId="0" applyNumberFormat="1" applyFont="1" applyFill="1" applyAlignment="1">
      <alignment vertical="center"/>
    </xf>
    <xf numFmtId="10" fontId="19" fillId="3" borderId="12" xfId="0" applyNumberFormat="1" applyFont="1" applyFill="1" applyBorder="1" applyAlignment="1">
      <alignment vertical="center"/>
    </xf>
    <xf numFmtId="0" fontId="19" fillId="3" borderId="3" xfId="0" applyFont="1" applyFill="1" applyBorder="1" applyAlignment="1">
      <alignment vertical="center"/>
    </xf>
    <xf numFmtId="10" fontId="19" fillId="3" borderId="9" xfId="0" applyNumberFormat="1" applyFont="1" applyFill="1" applyBorder="1" applyAlignment="1">
      <alignment vertical="center"/>
    </xf>
    <xf numFmtId="10" fontId="19" fillId="3" borderId="4" xfId="0" applyNumberFormat="1" applyFont="1" applyFill="1" applyBorder="1" applyAlignment="1">
      <alignment vertical="center"/>
    </xf>
    <xf numFmtId="10" fontId="19" fillId="3" borderId="14" xfId="0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3" borderId="24" xfId="0" applyFont="1" applyFill="1" applyBorder="1" applyAlignment="1">
      <alignment horizontal="center"/>
    </xf>
    <xf numFmtId="0" fontId="19" fillId="3" borderId="27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center"/>
    </xf>
    <xf numFmtId="2" fontId="19" fillId="3" borderId="0" xfId="0" applyNumberFormat="1" applyFont="1" applyFill="1" applyAlignment="1">
      <alignment horizontal="center" vertical="center"/>
    </xf>
    <xf numFmtId="2" fontId="19" fillId="3" borderId="33" xfId="0" applyNumberFormat="1" applyFont="1" applyFill="1" applyBorder="1" applyAlignment="1">
      <alignment horizontal="center" vertical="center"/>
    </xf>
    <xf numFmtId="2" fontId="17" fillId="3" borderId="34" xfId="0" applyNumberFormat="1" applyFont="1" applyFill="1" applyBorder="1" applyAlignment="1">
      <alignment horizontal="center" vertical="center"/>
    </xf>
    <xf numFmtId="2" fontId="17" fillId="3" borderId="33" xfId="0" applyNumberFormat="1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0" fontId="19" fillId="3" borderId="34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3" borderId="35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37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168" fontId="17" fillId="3" borderId="37" xfId="0" applyNumberFormat="1" applyFont="1" applyFill="1" applyBorder="1" applyAlignment="1">
      <alignment horizontal="center" vertical="center"/>
    </xf>
    <xf numFmtId="0" fontId="17" fillId="0" borderId="0" xfId="0" applyFont="1"/>
    <xf numFmtId="0" fontId="29" fillId="54" borderId="56" xfId="0" applyFont="1" applyFill="1" applyBorder="1" applyAlignment="1">
      <alignment horizontal="center" vertical="center" wrapText="1"/>
    </xf>
    <xf numFmtId="0" fontId="31" fillId="55" borderId="56" xfId="0" applyFont="1" applyFill="1" applyBorder="1" applyAlignment="1">
      <alignment horizontal="left" vertical="center" wrapText="1"/>
    </xf>
    <xf numFmtId="2" fontId="31" fillId="55" borderId="56" xfId="0" applyNumberFormat="1" applyFont="1" applyFill="1" applyBorder="1" applyAlignment="1">
      <alignment horizontal="center" vertical="center"/>
    </xf>
    <xf numFmtId="2" fontId="32" fillId="55" borderId="56" xfId="0" applyNumberFormat="1" applyFont="1" applyFill="1" applyBorder="1" applyAlignment="1">
      <alignment horizontal="center" vertical="center"/>
    </xf>
    <xf numFmtId="0" fontId="31" fillId="55" borderId="5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0" fillId="58" borderId="45" xfId="0" applyFont="1" applyFill="1" applyBorder="1" applyAlignment="1">
      <alignment horizontal="center" vertical="center" wrapText="1"/>
    </xf>
    <xf numFmtId="0" fontId="20" fillId="59" borderId="40" xfId="0" applyFont="1" applyFill="1" applyBorder="1" applyAlignment="1">
      <alignment horizontal="center" vertical="center" wrapText="1"/>
    </xf>
    <xf numFmtId="0" fontId="34" fillId="0" borderId="0" xfId="0" applyFont="1"/>
    <xf numFmtId="0" fontId="20" fillId="9" borderId="45" xfId="0" applyFont="1" applyFill="1" applyBorder="1" applyAlignment="1">
      <alignment horizontal="center" vertical="center" wrapText="1"/>
    </xf>
    <xf numFmtId="0" fontId="20" fillId="11" borderId="45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0" fontId="20" fillId="59" borderId="45" xfId="0" applyFont="1" applyFill="1" applyBorder="1" applyAlignment="1">
      <alignment horizontal="center" vertical="center" wrapText="1"/>
    </xf>
    <xf numFmtId="0" fontId="22" fillId="47" borderId="39" xfId="0" applyFont="1" applyFill="1" applyBorder="1" applyAlignment="1">
      <alignment horizontal="center" vertical="center"/>
    </xf>
    <xf numFmtId="0" fontId="21" fillId="47" borderId="39" xfId="0" applyFont="1" applyFill="1" applyBorder="1" applyAlignment="1">
      <alignment horizontal="left" vertical="center"/>
    </xf>
    <xf numFmtId="0" fontId="23" fillId="47" borderId="39" xfId="0" applyFont="1" applyFill="1" applyBorder="1" applyAlignment="1">
      <alignment horizontal="center" vertical="center"/>
    </xf>
    <xf numFmtId="169" fontId="23" fillId="47" borderId="39" xfId="0" applyNumberFormat="1" applyFont="1" applyFill="1" applyBorder="1" applyAlignment="1">
      <alignment horizontal="center" vertical="center"/>
    </xf>
    <xf numFmtId="169" fontId="35" fillId="47" borderId="39" xfId="0" applyNumberFormat="1" applyFont="1" applyFill="1" applyBorder="1" applyAlignment="1">
      <alignment horizontal="center" vertical="center"/>
    </xf>
    <xf numFmtId="167" fontId="25" fillId="60" borderId="39" xfId="0" applyNumberFormat="1" applyFont="1" applyFill="1" applyBorder="1" applyAlignment="1">
      <alignment horizontal="center" vertical="center"/>
    </xf>
    <xf numFmtId="170" fontId="36" fillId="60" borderId="39" xfId="0" applyNumberFormat="1" applyFont="1" applyFill="1" applyBorder="1" applyAlignment="1">
      <alignment horizontal="center" vertical="center"/>
    </xf>
    <xf numFmtId="171" fontId="35" fillId="47" borderId="39" xfId="0" applyNumberFormat="1" applyFont="1" applyFill="1" applyBorder="1" applyAlignment="1">
      <alignment horizontal="center" vertical="center"/>
    </xf>
    <xf numFmtId="168" fontId="35" fillId="47" borderId="39" xfId="0" applyNumberFormat="1" applyFont="1" applyFill="1" applyBorder="1" applyAlignment="1">
      <alignment horizontal="center" vertical="center"/>
    </xf>
    <xf numFmtId="0" fontId="37" fillId="47" borderId="39" xfId="0" applyFont="1" applyFill="1" applyBorder="1" applyAlignment="1">
      <alignment horizontal="left" vertical="center"/>
    </xf>
    <xf numFmtId="0" fontId="22" fillId="61" borderId="39" xfId="0" applyFont="1" applyFill="1" applyBorder="1" applyAlignment="1">
      <alignment horizontal="center" vertical="center"/>
    </xf>
    <xf numFmtId="0" fontId="36" fillId="61" borderId="39" xfId="0" applyFont="1" applyFill="1" applyBorder="1" applyAlignment="1">
      <alignment horizontal="left" vertical="center"/>
    </xf>
    <xf numFmtId="0" fontId="23" fillId="61" borderId="39" xfId="0" applyFont="1" applyFill="1" applyBorder="1" applyAlignment="1">
      <alignment horizontal="center" vertical="center"/>
    </xf>
    <xf numFmtId="169" fontId="23" fillId="61" borderId="39" xfId="0" applyNumberFormat="1" applyFont="1" applyFill="1" applyBorder="1" applyAlignment="1">
      <alignment horizontal="center" vertical="center"/>
    </xf>
    <xf numFmtId="171" fontId="38" fillId="61" borderId="39" xfId="0" applyNumberFormat="1" applyFont="1" applyFill="1" applyBorder="1" applyAlignment="1">
      <alignment horizontal="center" vertical="center"/>
    </xf>
    <xf numFmtId="169" fontId="39" fillId="61" borderId="39" xfId="0" applyNumberFormat="1" applyFont="1" applyFill="1" applyBorder="1" applyAlignment="1">
      <alignment horizontal="center" vertical="center"/>
    </xf>
    <xf numFmtId="169" fontId="40" fillId="61" borderId="39" xfId="0" applyNumberFormat="1" applyFont="1" applyFill="1" applyBorder="1" applyAlignment="1">
      <alignment horizontal="center" vertical="center"/>
    </xf>
    <xf numFmtId="168" fontId="40" fillId="61" borderId="39" xfId="0" applyNumberFormat="1" applyFont="1" applyFill="1" applyBorder="1" applyAlignment="1">
      <alignment horizontal="center" vertical="center"/>
    </xf>
    <xf numFmtId="0" fontId="22" fillId="62" borderId="39" xfId="0" applyFont="1" applyFill="1" applyBorder="1" applyAlignment="1">
      <alignment horizontal="center" vertical="center"/>
    </xf>
    <xf numFmtId="0" fontId="36" fillId="62" borderId="39" xfId="0" applyFont="1" applyFill="1" applyBorder="1" applyAlignment="1">
      <alignment horizontal="left" vertical="center"/>
    </xf>
    <xf numFmtId="0" fontId="23" fillId="62" borderId="39" xfId="0" applyFont="1" applyFill="1" applyBorder="1" applyAlignment="1">
      <alignment horizontal="center" vertical="center"/>
    </xf>
    <xf numFmtId="169" fontId="23" fillId="62" borderId="39" xfId="0" applyNumberFormat="1" applyFont="1" applyFill="1" applyBorder="1" applyAlignment="1">
      <alignment horizontal="center" vertical="center"/>
    </xf>
    <xf numFmtId="171" fontId="39" fillId="62" borderId="39" xfId="0" applyNumberFormat="1" applyFont="1" applyFill="1" applyBorder="1" applyAlignment="1">
      <alignment horizontal="center" vertical="center"/>
    </xf>
    <xf numFmtId="169" fontId="39" fillId="62" borderId="39" xfId="0" applyNumberFormat="1" applyFont="1" applyFill="1" applyBorder="1" applyAlignment="1">
      <alignment horizontal="center" vertical="center"/>
    </xf>
    <xf numFmtId="169" fontId="40" fillId="62" borderId="39" xfId="0" applyNumberFormat="1" applyFont="1" applyFill="1" applyBorder="1" applyAlignment="1">
      <alignment horizontal="center" vertical="center"/>
    </xf>
    <xf numFmtId="168" fontId="40" fillId="62" borderId="39" xfId="0" applyNumberFormat="1" applyFont="1" applyFill="1" applyBorder="1" applyAlignment="1">
      <alignment horizontal="center" vertical="center"/>
    </xf>
    <xf numFmtId="0" fontId="38" fillId="62" borderId="39" xfId="0" applyFont="1" applyFill="1" applyBorder="1" applyAlignment="1">
      <alignment horizontal="left" vertical="center"/>
    </xf>
    <xf numFmtId="169" fontId="39" fillId="47" borderId="39" xfId="0" applyNumberFormat="1" applyFont="1" applyFill="1" applyBorder="1" applyAlignment="1">
      <alignment horizontal="center" vertical="center"/>
    </xf>
    <xf numFmtId="0" fontId="22" fillId="63" borderId="39" xfId="0" applyFont="1" applyFill="1" applyBorder="1" applyAlignment="1">
      <alignment horizontal="center" vertical="center"/>
    </xf>
    <xf numFmtId="0" fontId="36" fillId="63" borderId="39" xfId="0" applyFont="1" applyFill="1" applyBorder="1" applyAlignment="1">
      <alignment horizontal="left" vertical="center"/>
    </xf>
    <xf numFmtId="0" fontId="23" fillId="63" borderId="39" xfId="0" applyFont="1" applyFill="1" applyBorder="1" applyAlignment="1">
      <alignment horizontal="center" vertical="center"/>
    </xf>
    <xf numFmtId="169" fontId="23" fillId="63" borderId="39" xfId="0" applyNumberFormat="1" applyFont="1" applyFill="1" applyBorder="1" applyAlignment="1">
      <alignment horizontal="center" vertical="center"/>
    </xf>
    <xf numFmtId="171" fontId="35" fillId="63" borderId="39" xfId="0" applyNumberFormat="1" applyFont="1" applyFill="1" applyBorder="1" applyAlignment="1">
      <alignment horizontal="center" vertical="center"/>
    </xf>
    <xf numFmtId="169" fontId="39" fillId="63" borderId="39" xfId="0" applyNumberFormat="1" applyFont="1" applyFill="1" applyBorder="1" applyAlignment="1">
      <alignment horizontal="center" vertical="center"/>
    </xf>
    <xf numFmtId="169" fontId="40" fillId="63" borderId="39" xfId="0" applyNumberFormat="1" applyFont="1" applyFill="1" applyBorder="1" applyAlignment="1">
      <alignment horizontal="center" vertical="center"/>
    </xf>
    <xf numFmtId="168" fontId="40" fillId="63" borderId="39" xfId="0" applyNumberFormat="1" applyFont="1" applyFill="1" applyBorder="1" applyAlignment="1">
      <alignment horizontal="center" vertical="center"/>
    </xf>
    <xf numFmtId="0" fontId="41" fillId="63" borderId="39" xfId="0" applyFont="1" applyFill="1" applyBorder="1" applyAlignment="1">
      <alignment horizontal="left" vertical="center"/>
    </xf>
    <xf numFmtId="0" fontId="20" fillId="65" borderId="45" xfId="0" applyFont="1" applyFill="1" applyBorder="1" applyAlignment="1">
      <alignment horizontal="center" vertical="center"/>
    </xf>
    <xf numFmtId="0" fontId="20" fillId="65" borderId="45" xfId="0" applyFont="1" applyFill="1" applyBorder="1" applyAlignment="1">
      <alignment horizontal="center" vertical="center" wrapText="1"/>
    </xf>
    <xf numFmtId="0" fontId="22" fillId="49" borderId="39" xfId="0" applyFont="1" applyFill="1" applyBorder="1" applyAlignment="1">
      <alignment horizontal="center" vertical="center"/>
    </xf>
    <xf numFmtId="0" fontId="23" fillId="49" borderId="39" xfId="0" applyFont="1" applyFill="1" applyBorder="1" applyAlignment="1">
      <alignment horizontal="left" vertical="center"/>
    </xf>
    <xf numFmtId="169" fontId="23" fillId="49" borderId="39" xfId="0" applyNumberFormat="1" applyFont="1" applyFill="1" applyBorder="1" applyAlignment="1">
      <alignment horizontal="center" vertical="center"/>
    </xf>
    <xf numFmtId="0" fontId="23" fillId="49" borderId="39" xfId="0" applyFont="1" applyFill="1" applyBorder="1" applyAlignment="1">
      <alignment horizontal="center" vertical="center"/>
    </xf>
    <xf numFmtId="2" fontId="23" fillId="49" borderId="39" xfId="0" applyNumberFormat="1" applyFont="1" applyFill="1" applyBorder="1" applyAlignment="1">
      <alignment horizontal="center" vertical="center"/>
    </xf>
    <xf numFmtId="0" fontId="40" fillId="49" borderId="39" xfId="0" applyFont="1" applyFill="1" applyBorder="1" applyAlignment="1">
      <alignment horizontal="center" vertical="center"/>
    </xf>
    <xf numFmtId="0" fontId="38" fillId="49" borderId="39" xfId="0" applyFont="1" applyFill="1" applyBorder="1" applyAlignment="1">
      <alignment horizontal="center" vertical="center"/>
    </xf>
    <xf numFmtId="0" fontId="23" fillId="62" borderId="39" xfId="0" applyFont="1" applyFill="1" applyBorder="1" applyAlignment="1">
      <alignment horizontal="left" vertical="center"/>
    </xf>
    <xf numFmtId="2" fontId="23" fillId="62" borderId="39" xfId="0" applyNumberFormat="1" applyFont="1" applyFill="1" applyBorder="1" applyAlignment="1">
      <alignment horizontal="center" vertical="center"/>
    </xf>
    <xf numFmtId="0" fontId="40" fillId="62" borderId="39" xfId="0" applyFont="1" applyFill="1" applyBorder="1" applyAlignment="1">
      <alignment horizontal="center" vertical="center"/>
    </xf>
    <xf numFmtId="0" fontId="39" fillId="62" borderId="39" xfId="0" applyFont="1" applyFill="1" applyBorder="1" applyAlignment="1">
      <alignment horizontal="center" vertical="center"/>
    </xf>
    <xf numFmtId="0" fontId="22" fillId="37" borderId="39" xfId="0" applyFont="1" applyFill="1" applyBorder="1" applyAlignment="1">
      <alignment horizontal="center" vertical="center"/>
    </xf>
    <xf numFmtId="0" fontId="23" fillId="37" borderId="39" xfId="0" applyFont="1" applyFill="1" applyBorder="1" applyAlignment="1">
      <alignment horizontal="left" vertical="center"/>
    </xf>
    <xf numFmtId="169" fontId="23" fillId="37" borderId="39" xfId="0" applyNumberFormat="1" applyFont="1" applyFill="1" applyBorder="1" applyAlignment="1">
      <alignment horizontal="center" vertical="center"/>
    </xf>
    <xf numFmtId="0" fontId="23" fillId="37" borderId="39" xfId="0" applyFont="1" applyFill="1" applyBorder="1" applyAlignment="1">
      <alignment horizontal="center" vertical="center"/>
    </xf>
    <xf numFmtId="2" fontId="23" fillId="37" borderId="39" xfId="0" applyNumberFormat="1" applyFont="1" applyFill="1" applyBorder="1" applyAlignment="1">
      <alignment horizontal="center" vertical="center"/>
    </xf>
    <xf numFmtId="0" fontId="40" fillId="37" borderId="39" xfId="0" applyFont="1" applyFill="1" applyBorder="1" applyAlignment="1">
      <alignment horizontal="center" vertical="center"/>
    </xf>
    <xf numFmtId="0" fontId="37" fillId="37" borderId="39" xfId="0" applyFont="1" applyFill="1" applyBorder="1" applyAlignment="1">
      <alignment horizontal="center" vertical="center"/>
    </xf>
    <xf numFmtId="0" fontId="44" fillId="66" borderId="22" xfId="0" applyFont="1" applyFill="1" applyBorder="1" applyAlignment="1">
      <alignment horizontal="center" vertical="center"/>
    </xf>
    <xf numFmtId="3" fontId="45" fillId="66" borderId="8" xfId="0" applyNumberFormat="1" applyFont="1" applyFill="1" applyBorder="1" applyAlignment="1">
      <alignment horizontal="center" vertical="center"/>
    </xf>
    <xf numFmtId="3" fontId="45" fillId="66" borderId="19" xfId="0" applyNumberFormat="1" applyFont="1" applyFill="1" applyBorder="1" applyAlignment="1">
      <alignment horizontal="center" vertical="center"/>
    </xf>
    <xf numFmtId="3" fontId="45" fillId="66" borderId="20" xfId="0" applyNumberFormat="1" applyFont="1" applyFill="1" applyBorder="1" applyAlignment="1">
      <alignment horizontal="center" vertical="center"/>
    </xf>
    <xf numFmtId="0" fontId="45" fillId="66" borderId="4" xfId="0" applyFont="1" applyFill="1" applyBorder="1" applyAlignment="1">
      <alignment horizontal="center" vertical="center"/>
    </xf>
    <xf numFmtId="0" fontId="45" fillId="66" borderId="16" xfId="0" applyFont="1" applyFill="1" applyBorder="1" applyAlignment="1">
      <alignment horizontal="center" vertical="center"/>
    </xf>
    <xf numFmtId="3" fontId="45" fillId="66" borderId="5" xfId="0" applyNumberFormat="1" applyFont="1" applyFill="1" applyBorder="1" applyAlignment="1">
      <alignment horizontal="center" vertical="center"/>
    </xf>
    <xf numFmtId="0" fontId="43" fillId="0" borderId="0" xfId="0" applyFont="1"/>
    <xf numFmtId="4" fontId="43" fillId="66" borderId="2" xfId="0" applyNumberFormat="1" applyFont="1" applyFill="1" applyBorder="1"/>
    <xf numFmtId="4" fontId="43" fillId="66" borderId="5" xfId="0" applyNumberFormat="1" applyFont="1" applyFill="1" applyBorder="1"/>
    <xf numFmtId="0" fontId="44" fillId="66" borderId="15" xfId="0" applyFont="1" applyFill="1" applyBorder="1" applyAlignment="1">
      <alignment horizontal="center" vertical="center" wrapText="1"/>
    </xf>
    <xf numFmtId="0" fontId="44" fillId="66" borderId="46" xfId="0" applyFont="1" applyFill="1" applyBorder="1" applyAlignment="1">
      <alignment horizontal="center" vertical="center" wrapText="1"/>
    </xf>
    <xf numFmtId="10" fontId="44" fillId="66" borderId="59" xfId="0" applyNumberFormat="1" applyFont="1" applyFill="1" applyBorder="1" applyAlignment="1">
      <alignment horizontal="center" vertical="center" wrapText="1"/>
    </xf>
    <xf numFmtId="10" fontId="44" fillId="66" borderId="17" xfId="0" applyNumberFormat="1" applyFont="1" applyFill="1" applyBorder="1" applyAlignment="1">
      <alignment horizontal="center" vertical="center" wrapText="1"/>
    </xf>
    <xf numFmtId="10" fontId="17" fillId="66" borderId="13" xfId="0" applyNumberFormat="1" applyFont="1" applyFill="1" applyBorder="1" applyAlignment="1">
      <alignment horizontal="center" vertical="center"/>
    </xf>
    <xf numFmtId="0" fontId="45" fillId="66" borderId="0" xfId="0" applyFont="1" applyFill="1" applyAlignment="1">
      <alignment horizontal="center" vertical="center"/>
    </xf>
    <xf numFmtId="0" fontId="45" fillId="66" borderId="60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10" fontId="45" fillId="3" borderId="2" xfId="0" applyNumberFormat="1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0" fontId="45" fillId="3" borderId="5" xfId="0" applyNumberFormat="1" applyFont="1" applyFill="1" applyBorder="1" applyAlignment="1">
      <alignment horizontal="center" vertical="center"/>
    </xf>
    <xf numFmtId="0" fontId="43" fillId="3" borderId="3" xfId="0" applyFont="1" applyFill="1" applyBorder="1"/>
    <xf numFmtId="0" fontId="43" fillId="3" borderId="4" xfId="0" applyFont="1" applyFill="1" applyBorder="1"/>
    <xf numFmtId="0" fontId="44" fillId="3" borderId="4" xfId="0" applyFont="1" applyFill="1" applyBorder="1" applyAlignment="1">
      <alignment horizontal="right" vertical="center"/>
    </xf>
    <xf numFmtId="10" fontId="44" fillId="3" borderId="5" xfId="0" applyNumberFormat="1" applyFont="1" applyFill="1" applyBorder="1" applyAlignment="1">
      <alignment horizontal="center" vertical="center"/>
    </xf>
    <xf numFmtId="0" fontId="43" fillId="3" borderId="1" xfId="0" applyFont="1" applyFill="1" applyBorder="1"/>
    <xf numFmtId="0" fontId="43" fillId="3" borderId="0" xfId="0" applyFont="1" applyFill="1"/>
    <xf numFmtId="0" fontId="44" fillId="3" borderId="0" xfId="0" applyFont="1" applyFill="1" applyAlignment="1">
      <alignment horizontal="right" vertical="center"/>
    </xf>
    <xf numFmtId="3" fontId="44" fillId="3" borderId="0" xfId="0" applyNumberFormat="1" applyFont="1" applyFill="1" applyAlignment="1">
      <alignment horizontal="center" vertical="center"/>
    </xf>
    <xf numFmtId="0" fontId="43" fillId="3" borderId="2" xfId="0" applyFont="1" applyFill="1" applyBorder="1"/>
    <xf numFmtId="0" fontId="44" fillId="66" borderId="21" xfId="0" applyFont="1" applyFill="1" applyBorder="1" applyAlignment="1">
      <alignment horizontal="center" vertical="center"/>
    </xf>
    <xf numFmtId="0" fontId="44" fillId="66" borderId="61" xfId="0" applyFont="1" applyFill="1" applyBorder="1" applyAlignment="1">
      <alignment horizontal="center" vertical="center"/>
    </xf>
    <xf numFmtId="0" fontId="45" fillId="66" borderId="63" xfId="0" applyFont="1" applyFill="1" applyBorder="1" applyAlignment="1">
      <alignment horizontal="center" vertical="center"/>
    </xf>
    <xf numFmtId="3" fontId="45" fillId="66" borderId="11" xfId="0" applyNumberFormat="1" applyFont="1" applyFill="1" applyBorder="1" applyAlignment="1">
      <alignment horizontal="center" vertical="center"/>
    </xf>
    <xf numFmtId="3" fontId="45" fillId="66" borderId="18" xfId="0" applyNumberFormat="1" applyFont="1" applyFill="1" applyBorder="1" applyAlignment="1">
      <alignment horizontal="center" vertical="center"/>
    </xf>
    <xf numFmtId="0" fontId="45" fillId="66" borderId="10" xfId="0" applyFont="1" applyFill="1" applyBorder="1" applyAlignment="1">
      <alignment horizontal="center" vertical="center"/>
    </xf>
    <xf numFmtId="3" fontId="45" fillId="66" borderId="64" xfId="0" applyNumberFormat="1" applyFont="1" applyFill="1" applyBorder="1" applyAlignment="1">
      <alignment horizontal="center" vertical="center"/>
    </xf>
    <xf numFmtId="3" fontId="45" fillId="66" borderId="12" xfId="0" applyNumberFormat="1" applyFont="1" applyFill="1" applyBorder="1" applyAlignment="1">
      <alignment horizontal="center" vertical="center"/>
    </xf>
    <xf numFmtId="0" fontId="44" fillId="3" borderId="21" xfId="0" applyFont="1" applyFill="1" applyBorder="1" applyAlignment="1">
      <alignment horizontal="center" vertical="center"/>
    </xf>
    <xf numFmtId="0" fontId="44" fillId="3" borderId="22" xfId="0" applyFont="1" applyFill="1" applyBorder="1" applyAlignment="1">
      <alignment horizontal="center" vertical="center"/>
    </xf>
    <xf numFmtId="0" fontId="44" fillId="3" borderId="61" xfId="0" applyFont="1" applyFill="1" applyBorder="1" applyAlignment="1">
      <alignment horizontal="center" vertical="center"/>
    </xf>
    <xf numFmtId="0" fontId="45" fillId="3" borderId="63" xfId="0" applyFont="1" applyFill="1" applyBorder="1" applyAlignment="1">
      <alignment horizontal="center" vertical="center"/>
    </xf>
    <xf numFmtId="0" fontId="45" fillId="3" borderId="60" xfId="0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/>
    </xf>
    <xf numFmtId="10" fontId="45" fillId="3" borderId="18" xfId="0" applyNumberFormat="1" applyFont="1" applyFill="1" applyBorder="1" applyAlignment="1">
      <alignment horizontal="center" vertical="center"/>
    </xf>
    <xf numFmtId="10" fontId="45" fillId="3" borderId="19" xfId="0" applyNumberFormat="1" applyFont="1" applyFill="1" applyBorder="1" applyAlignment="1">
      <alignment horizontal="center" vertical="center"/>
    </xf>
    <xf numFmtId="10" fontId="45" fillId="3" borderId="20" xfId="0" applyNumberFormat="1" applyFont="1" applyFill="1" applyBorder="1" applyAlignment="1">
      <alignment horizontal="center" vertical="center"/>
    </xf>
    <xf numFmtId="10" fontId="45" fillId="3" borderId="63" xfId="0" applyNumberFormat="1" applyFont="1" applyFill="1" applyBorder="1" applyAlignment="1">
      <alignment horizontal="center" vertical="center"/>
    </xf>
    <xf numFmtId="10" fontId="45" fillId="3" borderId="60" xfId="0" applyNumberFormat="1" applyFont="1" applyFill="1" applyBorder="1" applyAlignment="1">
      <alignment horizontal="center" vertical="center"/>
    </xf>
    <xf numFmtId="10" fontId="45" fillId="3" borderId="16" xfId="0" applyNumberFormat="1" applyFont="1" applyFill="1" applyBorder="1" applyAlignment="1">
      <alignment horizontal="center" vertical="center"/>
    </xf>
    <xf numFmtId="10" fontId="44" fillId="3" borderId="16" xfId="0" applyNumberFormat="1" applyFont="1" applyFill="1" applyBorder="1" applyAlignment="1">
      <alignment horizontal="center" vertical="center"/>
    </xf>
    <xf numFmtId="10" fontId="44" fillId="3" borderId="62" xfId="0" applyNumberFormat="1" applyFont="1" applyFill="1" applyBorder="1" applyAlignment="1">
      <alignment horizontal="center" vertical="center"/>
    </xf>
    <xf numFmtId="10" fontId="44" fillId="3" borderId="17" xfId="0" applyNumberFormat="1" applyFont="1" applyFill="1" applyBorder="1" applyAlignment="1">
      <alignment horizontal="center" vertical="center"/>
    </xf>
    <xf numFmtId="10" fontId="44" fillId="3" borderId="20" xfId="0" applyNumberFormat="1" applyFont="1" applyFill="1" applyBorder="1" applyAlignment="1">
      <alignment horizontal="center" vertical="center"/>
    </xf>
    <xf numFmtId="0" fontId="20" fillId="40" borderId="45" xfId="0" applyFont="1" applyFill="1" applyBorder="1" applyAlignment="1">
      <alignment horizontal="center" vertical="center" wrapText="1"/>
    </xf>
    <xf numFmtId="0" fontId="20" fillId="65" borderId="45" xfId="0" applyFont="1" applyFill="1" applyBorder="1" applyAlignment="1">
      <alignment horizontal="left" vertical="center"/>
    </xf>
    <xf numFmtId="0" fontId="47" fillId="62" borderId="39" xfId="0" applyFont="1" applyFill="1" applyBorder="1" applyAlignment="1">
      <alignment horizontal="center" vertical="center"/>
    </xf>
    <xf numFmtId="167" fontId="23" fillId="69" borderId="39" xfId="0" applyNumberFormat="1" applyFont="1" applyFill="1" applyBorder="1" applyAlignment="1">
      <alignment horizontal="center" vertical="center"/>
    </xf>
    <xf numFmtId="0" fontId="37" fillId="49" borderId="39" xfId="0" applyFont="1" applyFill="1" applyBorder="1" applyAlignment="1">
      <alignment horizontal="center" vertical="center"/>
    </xf>
    <xf numFmtId="0" fontId="35" fillId="49" borderId="39" xfId="0" applyFont="1" applyFill="1" applyBorder="1" applyAlignment="1">
      <alignment horizontal="center" vertical="center"/>
    </xf>
    <xf numFmtId="0" fontId="47" fillId="49" borderId="39" xfId="0" applyFont="1" applyFill="1" applyBorder="1" applyAlignment="1">
      <alignment horizontal="center" vertical="center"/>
    </xf>
    <xf numFmtId="0" fontId="39" fillId="49" borderId="39" xfId="0" applyFont="1" applyFill="1" applyBorder="1" applyAlignment="1">
      <alignment horizontal="center" vertical="center"/>
    </xf>
    <xf numFmtId="0" fontId="22" fillId="70" borderId="39" xfId="0" applyFont="1" applyFill="1" applyBorder="1" applyAlignment="1">
      <alignment horizontal="center" vertical="center"/>
    </xf>
    <xf numFmtId="0" fontId="23" fillId="70" borderId="39" xfId="0" applyFont="1" applyFill="1" applyBorder="1" applyAlignment="1">
      <alignment horizontal="center" vertical="center"/>
    </xf>
    <xf numFmtId="0" fontId="37" fillId="70" borderId="39" xfId="0" applyFont="1" applyFill="1" applyBorder="1" applyAlignment="1">
      <alignment horizontal="center" vertical="center"/>
    </xf>
    <xf numFmtId="0" fontId="35" fillId="70" borderId="39" xfId="0" applyFont="1" applyFill="1" applyBorder="1" applyAlignment="1">
      <alignment horizontal="center" vertical="center"/>
    </xf>
    <xf numFmtId="0" fontId="23" fillId="70" borderId="39" xfId="0" applyFont="1" applyFill="1" applyBorder="1" applyAlignment="1">
      <alignment horizontal="left" vertical="center"/>
    </xf>
    <xf numFmtId="0" fontId="48" fillId="70" borderId="39" xfId="0" applyFont="1" applyFill="1" applyBorder="1" applyAlignment="1">
      <alignment horizontal="center" vertical="center"/>
    </xf>
    <xf numFmtId="0" fontId="47" fillId="70" borderId="39" xfId="0" applyFont="1" applyFill="1" applyBorder="1" applyAlignment="1">
      <alignment horizontal="center" vertical="center"/>
    </xf>
    <xf numFmtId="0" fontId="39" fillId="70" borderId="39" xfId="0" applyFont="1" applyFill="1" applyBorder="1" applyAlignment="1">
      <alignment horizontal="center" vertical="center"/>
    </xf>
    <xf numFmtId="0" fontId="40" fillId="70" borderId="39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top" wrapText="1"/>
    </xf>
    <xf numFmtId="0" fontId="19" fillId="0" borderId="0" xfId="0" applyFont="1"/>
    <xf numFmtId="0" fontId="44" fillId="67" borderId="58" xfId="0" applyFont="1" applyFill="1" applyBorder="1" applyAlignment="1">
      <alignment horizontal="center" vertical="center"/>
    </xf>
    <xf numFmtId="0" fontId="0" fillId="0" borderId="46" xfId="0" applyBorder="1"/>
    <xf numFmtId="0" fontId="0" fillId="0" borderId="13" xfId="0" applyBorder="1"/>
    <xf numFmtId="0" fontId="0" fillId="68" borderId="65" xfId="0" applyFill="1" applyBorder="1"/>
    <xf numFmtId="0" fontId="0" fillId="0" borderId="2" xfId="0" applyBorder="1"/>
    <xf numFmtId="0" fontId="44" fillId="67" borderId="65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17" fillId="3" borderId="24" xfId="0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30" fillId="2" borderId="56" xfId="0" applyFont="1" applyFill="1" applyBorder="1" applyAlignment="1">
      <alignment horizontal="left" vertical="center"/>
    </xf>
    <xf numFmtId="0" fontId="0" fillId="0" borderId="66" xfId="0" applyBorder="1"/>
    <xf numFmtId="0" fontId="0" fillId="0" borderId="67" xfId="0" applyBorder="1"/>
    <xf numFmtId="0" fontId="33" fillId="2" borderId="56" xfId="0" applyFont="1" applyFill="1" applyBorder="1" applyAlignment="1">
      <alignment horizontal="left" vertical="center" wrapText="1"/>
    </xf>
    <xf numFmtId="0" fontId="17" fillId="3" borderId="26" xfId="0" applyFont="1" applyFill="1" applyBorder="1" applyAlignment="1">
      <alignment horizontal="center"/>
    </xf>
    <xf numFmtId="0" fontId="31" fillId="56" borderId="55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31" fillId="55" borderId="55" xfId="0" applyFont="1" applyFill="1" applyBorder="1" applyAlignment="1">
      <alignment horizontal="left" vertical="center" wrapText="1"/>
    </xf>
    <xf numFmtId="0" fontId="29" fillId="53" borderId="55" xfId="0" applyFont="1" applyFill="1" applyBorder="1" applyAlignment="1">
      <alignment horizontal="center" vertical="center"/>
    </xf>
    <xf numFmtId="0" fontId="19" fillId="3" borderId="58" xfId="0" applyFont="1" applyFill="1" applyBorder="1" applyAlignment="1">
      <alignment horizontal="left" vertical="center"/>
    </xf>
    <xf numFmtId="0" fontId="17" fillId="3" borderId="58" xfId="0" applyFont="1" applyFill="1" applyBorder="1" applyAlignment="1">
      <alignment horizontal="center" vertical="center"/>
    </xf>
    <xf numFmtId="0" fontId="6" fillId="9" borderId="50" xfId="0" applyFont="1" applyFill="1" applyBorder="1" applyAlignment="1">
      <alignment horizontal="center" vertical="center" wrapText="1"/>
    </xf>
    <xf numFmtId="0" fontId="4" fillId="0" borderId="0" xfId="0" applyFont="1"/>
    <xf numFmtId="0" fontId="16" fillId="16" borderId="41" xfId="0" applyFont="1" applyFill="1" applyBorder="1" applyAlignment="1">
      <alignment horizontal="center" vertical="center" wrapText="1"/>
    </xf>
    <xf numFmtId="0" fontId="0" fillId="0" borderId="53" xfId="0" applyBorder="1"/>
    <xf numFmtId="0" fontId="15" fillId="17" borderId="42" xfId="0" applyFont="1" applyFill="1" applyBorder="1" applyAlignment="1">
      <alignment horizontal="center" vertical="center" wrapText="1"/>
    </xf>
    <xf numFmtId="0" fontId="0" fillId="0" borderId="54" xfId="0" applyBorder="1"/>
    <xf numFmtId="0" fontId="6" fillId="12" borderId="40" xfId="0" applyFont="1" applyFill="1" applyBorder="1" applyAlignment="1">
      <alignment horizontal="center" vertical="center" wrapText="1"/>
    </xf>
    <xf numFmtId="0" fontId="0" fillId="0" borderId="49" xfId="0" applyBorder="1"/>
    <xf numFmtId="0" fontId="6" fillId="11" borderId="40" xfId="0" applyFont="1" applyFill="1" applyBorder="1" applyAlignment="1">
      <alignment horizontal="center" vertical="center" wrapText="1"/>
    </xf>
    <xf numFmtId="0" fontId="6" fillId="18" borderId="40" xfId="0" applyFont="1" applyFill="1" applyBorder="1" applyAlignment="1">
      <alignment horizontal="center" vertical="center" wrapText="1"/>
    </xf>
    <xf numFmtId="165" fontId="15" fillId="17" borderId="4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164" fontId="15" fillId="17" borderId="42" xfId="0" applyNumberFormat="1" applyFont="1" applyFill="1" applyBorder="1" applyAlignment="1">
      <alignment horizontal="center" vertical="center" wrapText="1"/>
    </xf>
    <xf numFmtId="167" fontId="15" fillId="17" borderId="42" xfId="0" applyNumberFormat="1" applyFont="1" applyFill="1" applyBorder="1" applyAlignment="1">
      <alignment horizontal="center" vertical="center" wrapText="1"/>
    </xf>
    <xf numFmtId="11" fontId="15" fillId="17" borderId="42" xfId="0" applyNumberFormat="1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0" fontId="0" fillId="0" borderId="70" xfId="0" applyBorder="1"/>
    <xf numFmtId="0" fontId="20" fillId="19" borderId="43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20" fillId="20" borderId="4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0" fillId="0" borderId="71" xfId="0" applyBorder="1"/>
    <xf numFmtId="0" fontId="0" fillId="0" borderId="72" xfId="0" applyBorder="1"/>
    <xf numFmtId="0" fontId="1" fillId="7" borderId="39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left" vertical="top" wrapText="1"/>
    </xf>
    <xf numFmtId="0" fontId="0" fillId="0" borderId="52" xfId="0" applyBorder="1"/>
    <xf numFmtId="0" fontId="3" fillId="10" borderId="44" xfId="0" applyFont="1" applyFill="1" applyBorder="1" applyAlignment="1">
      <alignment horizontal="left" vertical="center" wrapText="1"/>
    </xf>
    <xf numFmtId="0" fontId="16" fillId="31" borderId="44" xfId="0" applyFont="1" applyFill="1" applyBorder="1" applyAlignment="1">
      <alignment horizontal="left" vertical="center"/>
    </xf>
    <xf numFmtId="172" fontId="11" fillId="31" borderId="44" xfId="0" applyNumberFormat="1" applyFont="1" applyFill="1" applyBorder="1" applyAlignment="1">
      <alignment horizontal="center" vertical="center"/>
    </xf>
    <xf numFmtId="0" fontId="6" fillId="27" borderId="40" xfId="0" applyFont="1" applyFill="1" applyBorder="1" applyAlignment="1">
      <alignment horizontal="center" vertical="center" wrapText="1"/>
    </xf>
    <xf numFmtId="0" fontId="1" fillId="34" borderId="44" xfId="0" applyFont="1" applyFill="1" applyBorder="1" applyAlignment="1">
      <alignment horizontal="left" vertical="center"/>
    </xf>
    <xf numFmtId="0" fontId="6" fillId="24" borderId="40" xfId="0" applyFont="1" applyFill="1" applyBorder="1" applyAlignment="1">
      <alignment horizontal="center" vertical="center" wrapText="1"/>
    </xf>
    <xf numFmtId="0" fontId="6" fillId="20" borderId="40" xfId="0" applyFont="1" applyFill="1" applyBorder="1" applyAlignment="1">
      <alignment horizontal="center" vertical="center" wrapText="1"/>
    </xf>
    <xf numFmtId="165" fontId="11" fillId="31" borderId="44" xfId="0" applyNumberFormat="1" applyFont="1" applyFill="1" applyBorder="1" applyAlignment="1">
      <alignment horizontal="center" vertical="center"/>
    </xf>
    <xf numFmtId="173" fontId="8" fillId="34" borderId="44" xfId="0" applyNumberFormat="1" applyFont="1" applyFill="1" applyBorder="1" applyAlignment="1">
      <alignment horizontal="center" vertical="center"/>
    </xf>
    <xf numFmtId="0" fontId="8" fillId="30" borderId="44" xfId="0" applyFont="1" applyFill="1" applyBorder="1" applyAlignment="1">
      <alignment horizontal="left" vertical="center"/>
    </xf>
    <xf numFmtId="173" fontId="11" fillId="31" borderId="44" xfId="0" applyNumberFormat="1" applyFont="1" applyFill="1" applyBorder="1" applyAlignment="1">
      <alignment horizontal="center" vertical="center"/>
    </xf>
    <xf numFmtId="165" fontId="8" fillId="34" borderId="44" xfId="0" applyNumberFormat="1" applyFont="1" applyFill="1" applyBorder="1" applyAlignment="1">
      <alignment horizontal="center" vertical="center"/>
    </xf>
    <xf numFmtId="165" fontId="8" fillId="30" borderId="44" xfId="0" applyNumberFormat="1" applyFont="1" applyFill="1" applyBorder="1" applyAlignment="1">
      <alignment horizontal="center" vertical="center"/>
    </xf>
    <xf numFmtId="172" fontId="8" fillId="34" borderId="44" xfId="0" applyNumberFormat="1" applyFont="1" applyFill="1" applyBorder="1" applyAlignment="1">
      <alignment horizontal="center" vertical="center"/>
    </xf>
    <xf numFmtId="0" fontId="8" fillId="34" borderId="44" xfId="0" applyFont="1" applyFill="1" applyBorder="1" applyAlignment="1">
      <alignment horizontal="left" vertical="center"/>
    </xf>
    <xf numFmtId="173" fontId="8" fillId="30" borderId="44" xfId="0" applyNumberFormat="1" applyFont="1" applyFill="1" applyBorder="1" applyAlignment="1">
      <alignment horizontal="center" vertical="center"/>
    </xf>
    <xf numFmtId="172" fontId="8" fillId="30" borderId="44" xfId="0" applyNumberFormat="1" applyFont="1" applyFill="1" applyBorder="1" applyAlignment="1">
      <alignment horizontal="center" vertical="center"/>
    </xf>
    <xf numFmtId="0" fontId="1" fillId="30" borderId="44" xfId="0" applyFont="1" applyFill="1" applyBorder="1" applyAlignment="1">
      <alignment horizontal="left" vertical="center"/>
    </xf>
    <xf numFmtId="0" fontId="6" fillId="33" borderId="40" xfId="0" applyFont="1" applyFill="1" applyBorder="1" applyAlignment="1">
      <alignment horizontal="center" vertical="center" wrapText="1"/>
    </xf>
    <xf numFmtId="0" fontId="11" fillId="31" borderId="4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8" fillId="0" borderId="0" xfId="0" applyFont="1"/>
    <xf numFmtId="0" fontId="49" fillId="0" borderId="0" xfId="0" applyFont="1" applyAlignment="1">
      <alignment horizontal="left"/>
    </xf>
    <xf numFmtId="0" fontId="28" fillId="64" borderId="44" xfId="0" applyFont="1" applyFill="1" applyBorder="1" applyAlignment="1">
      <alignment horizontal="left" vertical="center" wrapText="1"/>
    </xf>
    <xf numFmtId="0" fontId="20" fillId="58" borderId="40" xfId="0" applyFont="1" applyFill="1" applyBorder="1" applyAlignment="1">
      <alignment horizontal="center" vertical="center" wrapText="1"/>
    </xf>
    <xf numFmtId="0" fontId="20" fillId="57" borderId="40" xfId="0" applyFont="1" applyFill="1" applyBorder="1" applyAlignment="1">
      <alignment horizontal="center" vertical="center" wrapText="1"/>
    </xf>
    <xf numFmtId="0" fontId="20" fillId="11" borderId="40" xfId="0" applyFont="1" applyFill="1" applyBorder="1" applyAlignment="1">
      <alignment horizontal="center" vertical="center" wrapText="1"/>
    </xf>
    <xf numFmtId="0" fontId="0" fillId="0" borderId="57" xfId="0" applyBorder="1"/>
    <xf numFmtId="0" fontId="20" fillId="57" borderId="40" xfId="0" applyFont="1" applyFill="1" applyBorder="1" applyAlignment="1">
      <alignment horizontal="center" vertical="center"/>
    </xf>
    <xf numFmtId="0" fontId="6" fillId="45" borderId="40" xfId="0" applyFont="1" applyFill="1" applyBorder="1" applyAlignment="1">
      <alignment horizontal="center" vertical="center" wrapText="1"/>
    </xf>
    <xf numFmtId="0" fontId="13" fillId="52" borderId="39" xfId="0" applyFont="1" applyFill="1" applyBorder="1" applyAlignment="1">
      <alignment horizontal="center" vertical="center"/>
    </xf>
    <xf numFmtId="0" fontId="6" fillId="38" borderId="40" xfId="0" applyFont="1" applyFill="1" applyBorder="1" applyAlignment="1">
      <alignment horizontal="center" vertical="center" wrapText="1"/>
    </xf>
    <xf numFmtId="0" fontId="6" fillId="39" borderId="40" xfId="0" applyFont="1" applyFill="1" applyBorder="1" applyAlignment="1">
      <alignment horizontal="center" vertical="center" wrapText="1"/>
    </xf>
    <xf numFmtId="0" fontId="14" fillId="52" borderId="39" xfId="0" applyFont="1" applyFill="1" applyBorder="1" applyAlignment="1">
      <alignment horizontal="center" vertical="center"/>
    </xf>
    <xf numFmtId="0" fontId="1" fillId="52" borderId="39" xfId="0" applyFont="1" applyFill="1" applyBorder="1" applyAlignment="1">
      <alignment horizontal="right" vertical="center"/>
    </xf>
    <xf numFmtId="0" fontId="6" fillId="42" borderId="40" xfId="0" applyFont="1" applyFill="1" applyBorder="1" applyAlignment="1">
      <alignment horizontal="center" vertical="center" wrapText="1"/>
    </xf>
    <xf numFmtId="0" fontId="6" fillId="43" borderId="40" xfId="0" applyFont="1" applyFill="1" applyBorder="1" applyAlignment="1">
      <alignment horizontal="center" vertical="center" wrapText="1"/>
    </xf>
    <xf numFmtId="0" fontId="6" fillId="40" borderId="40" xfId="0" applyFont="1" applyFill="1" applyBorder="1" applyAlignment="1">
      <alignment horizontal="center" vertical="center" wrapText="1"/>
    </xf>
    <xf numFmtId="0" fontId="6" fillId="41" borderId="40" xfId="0" applyFont="1" applyFill="1" applyBorder="1" applyAlignment="1">
      <alignment horizontal="center" vertical="center" wrapText="1"/>
    </xf>
    <xf numFmtId="0" fontId="6" fillId="44" borderId="40" xfId="0" applyFont="1" applyFill="1" applyBorder="1" applyAlignment="1">
      <alignment horizontal="center" vertical="center" wrapText="1"/>
    </xf>
    <xf numFmtId="0" fontId="28" fillId="64" borderId="39" xfId="0" applyFont="1" applyFill="1" applyBorder="1" applyAlignment="1">
      <alignment horizontal="left" vertical="center"/>
    </xf>
    <xf numFmtId="0" fontId="20" fillId="9" borderId="45" xfId="0" applyFont="1" applyFill="1" applyBorder="1" applyAlignment="1">
      <alignment horizontal="center" vertical="center"/>
    </xf>
    <xf numFmtId="0" fontId="0" fillId="0" borderId="7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H34" sqref="H34"/>
    </sheetView>
  </sheetViews>
  <sheetFormatPr defaultColWidth="9.15625" defaultRowHeight="15" x14ac:dyDescent="0.5"/>
  <cols>
    <col min="1" max="1" width="10.7890625" style="105" bestFit="1" customWidth="1"/>
    <col min="2" max="2" width="5.5234375" style="105" bestFit="1" customWidth="1"/>
    <col min="3" max="3" width="8.62890625" style="105" bestFit="1" customWidth="1"/>
    <col min="4" max="4" width="7.47265625" style="105" bestFit="1" customWidth="1"/>
    <col min="5" max="10" width="9.62890625" style="105" bestFit="1" customWidth="1"/>
    <col min="11" max="11" width="7.5234375" style="105" bestFit="1" customWidth="1"/>
    <col min="12" max="12" width="9.15625" style="105" customWidth="1"/>
    <col min="13" max="16384" width="9.15625" style="105"/>
  </cols>
  <sheetData>
    <row r="1" spans="1:11" ht="16.75" customHeight="1" thickBot="1" x14ac:dyDescent="0.55000000000000004">
      <c r="A1" s="303" t="s">
        <v>380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</row>
    <row r="2" spans="1:11" ht="15.25" customHeight="1" thickBot="1" x14ac:dyDescent="0.6">
      <c r="A2" s="297" t="s">
        <v>35</v>
      </c>
      <c r="B2" s="298"/>
      <c r="C2" s="298"/>
      <c r="D2" s="298"/>
      <c r="E2" s="298"/>
      <c r="F2" s="298"/>
      <c r="G2" s="298"/>
      <c r="H2" s="298"/>
      <c r="I2" s="298"/>
      <c r="J2" s="298"/>
      <c r="K2" s="299"/>
    </row>
    <row r="3" spans="1:11" ht="30.25" customHeight="1" thickBot="1" x14ac:dyDescent="0.55000000000000004">
      <c r="A3" s="234" t="s">
        <v>36</v>
      </c>
      <c r="B3" s="235" t="s">
        <v>37</v>
      </c>
      <c r="C3" s="235" t="s">
        <v>38</v>
      </c>
      <c r="D3" s="235" t="s">
        <v>39</v>
      </c>
      <c r="E3" s="236" t="s">
        <v>40</v>
      </c>
      <c r="F3" s="236" t="s">
        <v>41</v>
      </c>
      <c r="G3" s="236" t="s">
        <v>42</v>
      </c>
      <c r="H3" s="236" t="s">
        <v>43</v>
      </c>
      <c r="I3" s="237" t="s">
        <v>44</v>
      </c>
      <c r="J3" s="237" t="s">
        <v>45</v>
      </c>
      <c r="K3" s="238" t="s">
        <v>46</v>
      </c>
    </row>
    <row r="4" spans="1:11" x14ac:dyDescent="0.5">
      <c r="A4" s="254" t="s">
        <v>47</v>
      </c>
      <c r="B4" s="239" t="s">
        <v>48</v>
      </c>
      <c r="C4" s="259" t="s">
        <v>48</v>
      </c>
      <c r="D4" s="256" t="s">
        <v>48</v>
      </c>
      <c r="E4" s="258">
        <v>147</v>
      </c>
      <c r="F4" s="257">
        <v>412</v>
      </c>
      <c r="G4" s="257">
        <v>190</v>
      </c>
      <c r="H4" s="257">
        <v>180</v>
      </c>
      <c r="I4" s="258">
        <v>240</v>
      </c>
      <c r="J4" s="260">
        <f t="shared" ref="J4:J11" si="0">SUM(E4:I4)</f>
        <v>1169</v>
      </c>
      <c r="K4" s="232">
        <f t="shared" ref="K4:K11" si="1">STDEV(E4:I4)</f>
        <v>105.04856019955722</v>
      </c>
    </row>
    <row r="5" spans="1:11" x14ac:dyDescent="0.5">
      <c r="A5" s="224" t="s">
        <v>49</v>
      </c>
      <c r="B5" s="239" t="s">
        <v>48</v>
      </c>
      <c r="C5" s="239" t="s">
        <v>48</v>
      </c>
      <c r="D5" s="240" t="s">
        <v>50</v>
      </c>
      <c r="E5" s="226">
        <v>608</v>
      </c>
      <c r="F5" s="225">
        <v>1111</v>
      </c>
      <c r="G5" s="225">
        <v>573</v>
      </c>
      <c r="H5" s="225">
        <v>396</v>
      </c>
      <c r="I5" s="226">
        <v>928</v>
      </c>
      <c r="J5" s="261">
        <f t="shared" si="0"/>
        <v>3616</v>
      </c>
      <c r="K5" s="232">
        <f t="shared" si="1"/>
        <v>289.49214151682935</v>
      </c>
    </row>
    <row r="6" spans="1:11" x14ac:dyDescent="0.5">
      <c r="A6" s="224" t="s">
        <v>51</v>
      </c>
      <c r="B6" s="239" t="s">
        <v>48</v>
      </c>
      <c r="C6" s="239" t="s">
        <v>50</v>
      </c>
      <c r="D6" s="240" t="s">
        <v>48</v>
      </c>
      <c r="E6" s="226">
        <v>137</v>
      </c>
      <c r="F6" s="225">
        <v>265</v>
      </c>
      <c r="G6" s="225">
        <v>148</v>
      </c>
      <c r="H6" s="225">
        <v>69</v>
      </c>
      <c r="I6" s="226">
        <v>121</v>
      </c>
      <c r="J6" s="261">
        <f t="shared" si="0"/>
        <v>740</v>
      </c>
      <c r="K6" s="232">
        <f t="shared" si="1"/>
        <v>72.076348409169569</v>
      </c>
    </row>
    <row r="7" spans="1:11" x14ac:dyDescent="0.5">
      <c r="A7" s="224" t="s">
        <v>52</v>
      </c>
      <c r="B7" s="239" t="s">
        <v>48</v>
      </c>
      <c r="C7" s="239" t="s">
        <v>50</v>
      </c>
      <c r="D7" s="240" t="s">
        <v>50</v>
      </c>
      <c r="E7" s="226">
        <v>777</v>
      </c>
      <c r="F7" s="225">
        <v>1028</v>
      </c>
      <c r="G7" s="225">
        <v>622</v>
      </c>
      <c r="H7" s="225">
        <v>269</v>
      </c>
      <c r="I7" s="226">
        <v>900</v>
      </c>
      <c r="J7" s="261">
        <f t="shared" si="0"/>
        <v>3596</v>
      </c>
      <c r="K7" s="232">
        <f t="shared" si="1"/>
        <v>293.05067821112436</v>
      </c>
    </row>
    <row r="8" spans="1:11" x14ac:dyDescent="0.5">
      <c r="A8" s="224" t="s">
        <v>53</v>
      </c>
      <c r="B8" s="239" t="s">
        <v>50</v>
      </c>
      <c r="C8" s="239" t="s">
        <v>48</v>
      </c>
      <c r="D8" s="240" t="s">
        <v>48</v>
      </c>
      <c r="E8" s="226">
        <v>26</v>
      </c>
      <c r="F8" s="225">
        <v>75</v>
      </c>
      <c r="G8" s="225">
        <v>38</v>
      </c>
      <c r="H8" s="225">
        <v>26</v>
      </c>
      <c r="I8" s="226">
        <v>22</v>
      </c>
      <c r="J8" s="261">
        <f t="shared" si="0"/>
        <v>187</v>
      </c>
      <c r="K8" s="232">
        <f t="shared" si="1"/>
        <v>21.858636736997116</v>
      </c>
    </row>
    <row r="9" spans="1:11" x14ac:dyDescent="0.5">
      <c r="A9" s="224" t="s">
        <v>54</v>
      </c>
      <c r="B9" s="239" t="s">
        <v>50</v>
      </c>
      <c r="C9" s="239" t="s">
        <v>48</v>
      </c>
      <c r="D9" s="240" t="s">
        <v>50</v>
      </c>
      <c r="E9" s="226">
        <v>129</v>
      </c>
      <c r="F9" s="225">
        <v>247</v>
      </c>
      <c r="G9" s="225">
        <v>164</v>
      </c>
      <c r="H9" s="225">
        <v>160</v>
      </c>
      <c r="I9" s="226">
        <v>293</v>
      </c>
      <c r="J9" s="261">
        <f t="shared" si="0"/>
        <v>993</v>
      </c>
      <c r="K9" s="232">
        <f t="shared" si="1"/>
        <v>68.5295556676096</v>
      </c>
    </row>
    <row r="10" spans="1:11" x14ac:dyDescent="0.5">
      <c r="A10" s="224" t="s">
        <v>55</v>
      </c>
      <c r="B10" s="239" t="s">
        <v>50</v>
      </c>
      <c r="C10" s="239" t="s">
        <v>50</v>
      </c>
      <c r="D10" s="240" t="s">
        <v>48</v>
      </c>
      <c r="E10" s="226">
        <v>297</v>
      </c>
      <c r="F10" s="225">
        <v>567</v>
      </c>
      <c r="G10" s="225">
        <v>365</v>
      </c>
      <c r="H10" s="225">
        <v>312</v>
      </c>
      <c r="I10" s="226">
        <v>500</v>
      </c>
      <c r="J10" s="261">
        <f t="shared" si="0"/>
        <v>2041</v>
      </c>
      <c r="K10" s="232">
        <f t="shared" si="1"/>
        <v>119.51025060638109</v>
      </c>
    </row>
    <row r="11" spans="1:11" ht="15.25" customHeight="1" thickBot="1" x14ac:dyDescent="0.55000000000000004">
      <c r="A11" s="255" t="s">
        <v>56</v>
      </c>
      <c r="B11" s="228" t="s">
        <v>50</v>
      </c>
      <c r="C11" s="228" t="s">
        <v>50</v>
      </c>
      <c r="D11" s="229" t="s">
        <v>50</v>
      </c>
      <c r="E11" s="227">
        <v>1036</v>
      </c>
      <c r="F11" s="227">
        <v>1629</v>
      </c>
      <c r="G11" s="227">
        <v>928</v>
      </c>
      <c r="H11" s="227">
        <v>755</v>
      </c>
      <c r="I11" s="227">
        <v>1317</v>
      </c>
      <c r="J11" s="230">
        <f t="shared" si="0"/>
        <v>5665</v>
      </c>
      <c r="K11" s="233">
        <f t="shared" si="1"/>
        <v>344.30727555484503</v>
      </c>
    </row>
    <row r="12" spans="1:11" x14ac:dyDescent="0.5">
      <c r="A12" s="249"/>
      <c r="B12" s="250"/>
      <c r="C12" s="250"/>
      <c r="D12" s="251" t="s">
        <v>45</v>
      </c>
      <c r="E12" s="252">
        <f t="shared" ref="E12:J12" si="2">SUM(E4:E11)</f>
        <v>3157</v>
      </c>
      <c r="F12" s="252">
        <f t="shared" si="2"/>
        <v>5334</v>
      </c>
      <c r="G12" s="252">
        <f t="shared" si="2"/>
        <v>3028</v>
      </c>
      <c r="H12" s="252">
        <f t="shared" si="2"/>
        <v>2167</v>
      </c>
      <c r="I12" s="252">
        <f t="shared" si="2"/>
        <v>4321</v>
      </c>
      <c r="J12" s="252">
        <f t="shared" si="2"/>
        <v>18007</v>
      </c>
      <c r="K12" s="253"/>
    </row>
    <row r="13" spans="1:11" ht="15.25" customHeight="1" x14ac:dyDescent="0.55000000000000004">
      <c r="A13" s="300"/>
      <c r="B13" s="296"/>
      <c r="C13" s="296"/>
      <c r="D13" s="296"/>
      <c r="E13" s="296"/>
      <c r="F13" s="296"/>
      <c r="G13" s="296"/>
      <c r="H13" s="296"/>
      <c r="I13" s="296"/>
      <c r="J13" s="296"/>
      <c r="K13" s="301"/>
    </row>
    <row r="14" spans="1:11" ht="15.25" customHeight="1" thickBot="1" x14ac:dyDescent="0.6">
      <c r="A14" s="302" t="s">
        <v>57</v>
      </c>
      <c r="B14" s="296"/>
      <c r="C14" s="296"/>
      <c r="D14" s="296"/>
      <c r="E14" s="296"/>
      <c r="F14" s="296"/>
      <c r="G14" s="296"/>
      <c r="H14" s="296"/>
      <c r="I14" s="296"/>
      <c r="J14" s="296"/>
      <c r="K14" s="301"/>
    </row>
    <row r="15" spans="1:11" ht="30.25" customHeight="1" thickBot="1" x14ac:dyDescent="0.55000000000000004">
      <c r="A15" s="234" t="s">
        <v>36</v>
      </c>
      <c r="B15" s="235" t="s">
        <v>37</v>
      </c>
      <c r="C15" s="235" t="s">
        <v>38</v>
      </c>
      <c r="D15" s="235" t="s">
        <v>39</v>
      </c>
      <c r="E15" s="236" t="s">
        <v>40</v>
      </c>
      <c r="F15" s="236" t="s">
        <v>41</v>
      </c>
      <c r="G15" s="236" t="s">
        <v>42</v>
      </c>
      <c r="H15" s="236" t="s">
        <v>43</v>
      </c>
      <c r="I15" s="237" t="s">
        <v>44</v>
      </c>
      <c r="J15" s="237" t="s">
        <v>58</v>
      </c>
      <c r="K15" s="238" t="s">
        <v>46</v>
      </c>
    </row>
    <row r="16" spans="1:11" x14ac:dyDescent="0.5">
      <c r="A16" s="262" t="s">
        <v>47</v>
      </c>
      <c r="B16" s="241" t="s">
        <v>48</v>
      </c>
      <c r="C16" s="241" t="s">
        <v>48</v>
      </c>
      <c r="D16" s="265" t="s">
        <v>48</v>
      </c>
      <c r="E16" s="268">
        <f>E4/E12</f>
        <v>4.6563192904656318E-2</v>
      </c>
      <c r="F16" s="268">
        <f>F4/F12</f>
        <v>7.7240344956880397E-2</v>
      </c>
      <c r="G16" s="271">
        <f>G4/G12</f>
        <v>6.2747688243064731E-2</v>
      </c>
      <c r="H16" s="268">
        <f>H4/H12</f>
        <v>8.3064143977849558E-2</v>
      </c>
      <c r="I16" s="268">
        <f>I4/I12</f>
        <v>5.5542698449432999E-2</v>
      </c>
      <c r="J16" s="268">
        <f t="shared" ref="J16:J23" si="3">AVERAGE(E16:I16)</f>
        <v>6.5031613706376806E-2</v>
      </c>
      <c r="K16" s="242">
        <f t="shared" ref="K16:K23" si="4">STDEV(E16:I16)</f>
        <v>1.5087773708564907E-2</v>
      </c>
    </row>
    <row r="17" spans="1:11" x14ac:dyDescent="0.5">
      <c r="A17" s="263" t="s">
        <v>49</v>
      </c>
      <c r="B17" s="241" t="s">
        <v>48</v>
      </c>
      <c r="C17" s="241" t="s">
        <v>48</v>
      </c>
      <c r="D17" s="266" t="s">
        <v>50</v>
      </c>
      <c r="E17" s="269">
        <f>E5/E12</f>
        <v>0.19258789990497308</v>
      </c>
      <c r="F17" s="269">
        <f>F5/F12</f>
        <v>0.208286464191976</v>
      </c>
      <c r="G17" s="272">
        <f>G5/G12</f>
        <v>0.18923381770145312</v>
      </c>
      <c r="H17" s="269">
        <f>H5/H12</f>
        <v>0.18274111675126903</v>
      </c>
      <c r="I17" s="269">
        <f>I5/I12</f>
        <v>0.21476510067114093</v>
      </c>
      <c r="J17" s="269">
        <f t="shared" si="3"/>
        <v>0.19752287984416245</v>
      </c>
      <c r="K17" s="242">
        <f t="shared" si="4"/>
        <v>1.3460237975228299E-2</v>
      </c>
    </row>
    <row r="18" spans="1:11" x14ac:dyDescent="0.5">
      <c r="A18" s="263" t="s">
        <v>51</v>
      </c>
      <c r="B18" s="241" t="s">
        <v>48</v>
      </c>
      <c r="C18" s="241" t="s">
        <v>50</v>
      </c>
      <c r="D18" s="266" t="s">
        <v>48</v>
      </c>
      <c r="E18" s="269">
        <f>E6/E12</f>
        <v>4.3395628761482417E-2</v>
      </c>
      <c r="F18" s="269">
        <f>F6/F12</f>
        <v>4.9681289838770154E-2</v>
      </c>
      <c r="G18" s="272">
        <f>G6/G12</f>
        <v>4.8877146631439897E-2</v>
      </c>
      <c r="H18" s="269">
        <f>H6/H12</f>
        <v>3.1841255191509002E-2</v>
      </c>
      <c r="I18" s="269">
        <f>I6/I12</f>
        <v>2.8002777134922472E-2</v>
      </c>
      <c r="J18" s="269">
        <f t="shared" si="3"/>
        <v>4.0359619511624784E-2</v>
      </c>
      <c r="K18" s="242">
        <f t="shared" si="4"/>
        <v>9.9236238630713951E-3</v>
      </c>
    </row>
    <row r="19" spans="1:11" x14ac:dyDescent="0.5">
      <c r="A19" s="263" t="s">
        <v>52</v>
      </c>
      <c r="B19" s="241" t="s">
        <v>48</v>
      </c>
      <c r="C19" s="241" t="s">
        <v>50</v>
      </c>
      <c r="D19" s="266" t="s">
        <v>50</v>
      </c>
      <c r="E19" s="269">
        <f>E7/E12</f>
        <v>0.24611973392461198</v>
      </c>
      <c r="F19" s="269">
        <f>F7/F12</f>
        <v>0.19272590926134234</v>
      </c>
      <c r="G19" s="272">
        <f>G7/G12</f>
        <v>0.20541611624834874</v>
      </c>
      <c r="H19" s="269">
        <f>H7/H12</f>
        <v>0.12413474850023073</v>
      </c>
      <c r="I19" s="269">
        <f>I7/I12</f>
        <v>0.20828511918537376</v>
      </c>
      <c r="J19" s="269">
        <f t="shared" si="3"/>
        <v>0.19533632542398152</v>
      </c>
      <c r="K19" s="242">
        <f t="shared" si="4"/>
        <v>4.4510411284470627E-2</v>
      </c>
    </row>
    <row r="20" spans="1:11" x14ac:dyDescent="0.5">
      <c r="A20" s="263" t="s">
        <v>53</v>
      </c>
      <c r="B20" s="241" t="s">
        <v>50</v>
      </c>
      <c r="C20" s="241" t="s">
        <v>48</v>
      </c>
      <c r="D20" s="266" t="s">
        <v>48</v>
      </c>
      <c r="E20" s="269">
        <f>E8/E12</f>
        <v>8.2356667722521381E-3</v>
      </c>
      <c r="F20" s="269">
        <f>F8/F12</f>
        <v>1.40607424071991E-2</v>
      </c>
      <c r="G20" s="272">
        <f>G8/G12</f>
        <v>1.2549537648612946E-2</v>
      </c>
      <c r="H20" s="269">
        <f>H8/H12</f>
        <v>1.1998154130133826E-2</v>
      </c>
      <c r="I20" s="269">
        <f>I8/I12</f>
        <v>5.0914140245313586E-3</v>
      </c>
      <c r="J20" s="269">
        <f t="shared" si="3"/>
        <v>1.0387102996545872E-2</v>
      </c>
      <c r="K20" s="242">
        <f t="shared" si="4"/>
        <v>3.6551414273089237E-3</v>
      </c>
    </row>
    <row r="21" spans="1:11" x14ac:dyDescent="0.5">
      <c r="A21" s="263" t="s">
        <v>54</v>
      </c>
      <c r="B21" s="241" t="s">
        <v>50</v>
      </c>
      <c r="C21" s="241" t="s">
        <v>48</v>
      </c>
      <c r="D21" s="266" t="s">
        <v>50</v>
      </c>
      <c r="E21" s="269">
        <f>E9/E12</f>
        <v>4.0861577446943298E-2</v>
      </c>
      <c r="F21" s="269">
        <f>F9/F12</f>
        <v>4.6306711661042367E-2</v>
      </c>
      <c r="G21" s="272">
        <f>G9/G12</f>
        <v>5.416116248348745E-2</v>
      </c>
      <c r="H21" s="269">
        <f>H9/H12</f>
        <v>7.3834794646977384E-2</v>
      </c>
      <c r="I21" s="269">
        <f>I9/I12</f>
        <v>6.7808377690349461E-2</v>
      </c>
      <c r="J21" s="269">
        <f t="shared" si="3"/>
        <v>5.6594524785759992E-2</v>
      </c>
      <c r="K21" s="242">
        <f t="shared" si="4"/>
        <v>1.3984485911203355E-2</v>
      </c>
    </row>
    <row r="22" spans="1:11" x14ac:dyDescent="0.5">
      <c r="A22" s="263" t="s">
        <v>55</v>
      </c>
      <c r="B22" s="241" t="s">
        <v>50</v>
      </c>
      <c r="C22" s="241" t="s">
        <v>50</v>
      </c>
      <c r="D22" s="266" t="s">
        <v>48</v>
      </c>
      <c r="E22" s="269">
        <f>E10/E12</f>
        <v>9.4076655052264813E-2</v>
      </c>
      <c r="F22" s="269">
        <f>F10/F12</f>
        <v>0.1062992125984252</v>
      </c>
      <c r="G22" s="272">
        <f>G10/G12</f>
        <v>0.12054161162483487</v>
      </c>
      <c r="H22" s="269">
        <f>H10/H12</f>
        <v>0.14397784956160592</v>
      </c>
      <c r="I22" s="269">
        <f>I10/I12</f>
        <v>0.11571395510298542</v>
      </c>
      <c r="J22" s="269">
        <f t="shared" si="3"/>
        <v>0.11612185678802325</v>
      </c>
      <c r="K22" s="242">
        <f t="shared" si="4"/>
        <v>1.8561601550309469E-2</v>
      </c>
    </row>
    <row r="23" spans="1:11" ht="15.25" customHeight="1" thickBot="1" x14ac:dyDescent="0.55000000000000004">
      <c r="A23" s="264" t="s">
        <v>56</v>
      </c>
      <c r="B23" s="243" t="s">
        <v>50</v>
      </c>
      <c r="C23" s="243" t="s">
        <v>50</v>
      </c>
      <c r="D23" s="267" t="s">
        <v>50</v>
      </c>
      <c r="E23" s="270">
        <f>E11/E12</f>
        <v>0.32815964523281599</v>
      </c>
      <c r="F23" s="270">
        <f>F11/F12</f>
        <v>0.30539932508436446</v>
      </c>
      <c r="G23" s="273">
        <f>G11/G12</f>
        <v>0.30647291941875826</v>
      </c>
      <c r="H23" s="270">
        <f>H11/H12</f>
        <v>0.34840793724042457</v>
      </c>
      <c r="I23" s="270">
        <f>I11/I12</f>
        <v>0.30479055774126362</v>
      </c>
      <c r="J23" s="270">
        <f t="shared" si="3"/>
        <v>0.31864607694352537</v>
      </c>
      <c r="K23" s="244">
        <f t="shared" si="4"/>
        <v>1.9312650784086852E-2</v>
      </c>
    </row>
    <row r="24" spans="1:11" ht="15.25" customHeight="1" thickBot="1" x14ac:dyDescent="0.55000000000000004">
      <c r="A24" s="245"/>
      <c r="B24" s="246"/>
      <c r="C24" s="246"/>
      <c r="D24" s="247" t="s">
        <v>45</v>
      </c>
      <c r="E24" s="275">
        <f t="shared" ref="E24:J24" si="5">SUM(E16:E23)</f>
        <v>1</v>
      </c>
      <c r="F24" s="276">
        <f t="shared" si="5"/>
        <v>1.0000000000000002</v>
      </c>
      <c r="G24" s="274">
        <f t="shared" si="5"/>
        <v>1</v>
      </c>
      <c r="H24" s="277">
        <f t="shared" si="5"/>
        <v>1</v>
      </c>
      <c r="I24" s="277">
        <f t="shared" si="5"/>
        <v>1</v>
      </c>
      <c r="J24" s="277">
        <f t="shared" si="5"/>
        <v>1</v>
      </c>
      <c r="K24" s="248"/>
    </row>
    <row r="25" spans="1:11" x14ac:dyDescent="0.5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</row>
    <row r="26" spans="1:11" ht="58.9" customHeight="1" x14ac:dyDescent="0.5">
      <c r="A26" s="295" t="s">
        <v>59</v>
      </c>
      <c r="B26" s="296"/>
      <c r="C26" s="296"/>
      <c r="D26" s="296"/>
      <c r="E26" s="296"/>
      <c r="F26" s="296"/>
      <c r="G26" s="296"/>
      <c r="H26" s="296"/>
      <c r="I26" s="296"/>
      <c r="J26" s="296"/>
      <c r="K26" s="296"/>
    </row>
  </sheetData>
  <mergeCells count="5">
    <mergeCell ref="A26:K26"/>
    <mergeCell ref="A2:K2"/>
    <mergeCell ref="A13:K13"/>
    <mergeCell ref="A14:K14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4"/>
  <sheetViews>
    <sheetView workbookViewId="0">
      <selection sqref="A1:XFD1048576"/>
    </sheetView>
  </sheetViews>
  <sheetFormatPr defaultColWidth="8.7890625" defaultRowHeight="15" x14ac:dyDescent="0.5"/>
  <cols>
    <col min="1" max="1" width="19.26171875" style="105" bestFit="1" customWidth="1"/>
    <col min="2" max="6" width="6.3671875" style="105" bestFit="1" customWidth="1"/>
    <col min="7" max="7" width="9.89453125" style="105" bestFit="1" customWidth="1"/>
    <col min="8" max="8" width="6.89453125" style="105" bestFit="1" customWidth="1"/>
    <col min="9" max="10" width="8.7890625" style="105" customWidth="1"/>
    <col min="11" max="11" width="19.89453125" style="105" bestFit="1" customWidth="1"/>
    <col min="12" max="16" width="6.3671875" style="105" bestFit="1" customWidth="1"/>
    <col min="17" max="17" width="11.1015625" style="118" bestFit="1" customWidth="1"/>
    <col min="18" max="18" width="6.89453125" style="118" bestFit="1" customWidth="1"/>
    <col min="19" max="20" width="8.7890625" style="105" customWidth="1"/>
    <col min="21" max="21" width="19.89453125" style="105" bestFit="1" customWidth="1"/>
    <col min="22" max="26" width="6.3671875" style="105" bestFit="1" customWidth="1"/>
    <col min="27" max="27" width="10.5234375" style="105" bestFit="1" customWidth="1"/>
    <col min="28" max="28" width="6.89453125" style="105" bestFit="1" customWidth="1"/>
    <col min="29" max="29" width="8.7890625" style="105" customWidth="1"/>
    <col min="30" max="16384" width="8.7890625" style="105"/>
  </cols>
  <sheetData>
    <row r="1" spans="1:28" x14ac:dyDescent="0.5">
      <c r="A1" s="146" t="s">
        <v>381</v>
      </c>
    </row>
    <row r="2" spans="1:28" ht="15.25" customHeight="1" thickBot="1" x14ac:dyDescent="0.55000000000000004">
      <c r="A2" s="146" t="s">
        <v>60</v>
      </c>
      <c r="K2" s="146" t="s">
        <v>61</v>
      </c>
      <c r="U2" s="146" t="s">
        <v>62</v>
      </c>
    </row>
    <row r="3" spans="1:28" ht="15.7" customHeight="1" thickTop="1" x14ac:dyDescent="0.55000000000000004">
      <c r="A3" s="119" t="s">
        <v>63</v>
      </c>
      <c r="B3" s="311" t="s">
        <v>64</v>
      </c>
      <c r="C3" s="305"/>
      <c r="D3" s="305"/>
      <c r="E3" s="305"/>
      <c r="F3" s="306"/>
      <c r="G3" s="120"/>
      <c r="H3" s="121"/>
      <c r="K3" s="122" t="s">
        <v>65</v>
      </c>
      <c r="L3" s="304" t="s">
        <v>64</v>
      </c>
      <c r="M3" s="305"/>
      <c r="N3" s="305"/>
      <c r="O3" s="305"/>
      <c r="P3" s="306"/>
      <c r="Q3" s="120"/>
      <c r="R3" s="121"/>
      <c r="U3" s="122" t="s">
        <v>66</v>
      </c>
      <c r="V3" s="304" t="s">
        <v>64</v>
      </c>
      <c r="W3" s="305"/>
      <c r="X3" s="305"/>
      <c r="Y3" s="305"/>
      <c r="Z3" s="306"/>
      <c r="AA3" s="120"/>
      <c r="AB3" s="121"/>
    </row>
    <row r="4" spans="1:28" ht="15.25" customHeight="1" thickBot="1" x14ac:dyDescent="0.55000000000000004">
      <c r="A4" s="123" t="s">
        <v>67</v>
      </c>
      <c r="B4" s="124" t="s">
        <v>40</v>
      </c>
      <c r="C4" s="124" t="s">
        <v>41</v>
      </c>
      <c r="D4" s="124" t="s">
        <v>42</v>
      </c>
      <c r="E4" s="124" t="s">
        <v>43</v>
      </c>
      <c r="F4" s="125" t="s">
        <v>44</v>
      </c>
      <c r="G4" s="126" t="s">
        <v>68</v>
      </c>
      <c r="H4" s="125" t="s">
        <v>69</v>
      </c>
      <c r="K4" s="123" t="s">
        <v>67</v>
      </c>
      <c r="L4" s="124" t="s">
        <v>40</v>
      </c>
      <c r="M4" s="124" t="s">
        <v>41</v>
      </c>
      <c r="N4" s="124" t="s">
        <v>42</v>
      </c>
      <c r="O4" s="124" t="s">
        <v>43</v>
      </c>
      <c r="P4" s="125" t="s">
        <v>44</v>
      </c>
      <c r="Q4" s="126" t="s">
        <v>70</v>
      </c>
      <c r="R4" s="125" t="s">
        <v>69</v>
      </c>
      <c r="U4" s="123" t="s">
        <v>67</v>
      </c>
      <c r="V4" s="124" t="s">
        <v>40</v>
      </c>
      <c r="W4" s="124" t="s">
        <v>41</v>
      </c>
      <c r="X4" s="124" t="s">
        <v>42</v>
      </c>
      <c r="Y4" s="124" t="s">
        <v>43</v>
      </c>
      <c r="Z4" s="125" t="s">
        <v>44</v>
      </c>
      <c r="AA4" s="126" t="s">
        <v>71</v>
      </c>
      <c r="AB4" s="125" t="s">
        <v>69</v>
      </c>
    </row>
    <row r="5" spans="1:28" ht="15.25" customHeight="1" thickTop="1" x14ac:dyDescent="0.5">
      <c r="A5" s="127">
        <v>1</v>
      </c>
      <c r="B5" s="128">
        <v>27.1093503091349</v>
      </c>
      <c r="C5" s="128">
        <v>25.152929390000001</v>
      </c>
      <c r="D5" s="128">
        <v>35.143900255818799</v>
      </c>
      <c r="E5" s="128">
        <v>20.6452198532083</v>
      </c>
      <c r="F5" s="129">
        <v>29.0090383390379</v>
      </c>
      <c r="G5" s="130">
        <f t="shared" ref="G5:G25" si="0">AVERAGE(B5:F5)</f>
        <v>27.412087629439981</v>
      </c>
      <c r="H5" s="131">
        <f t="shared" ref="H5:H25" si="1">STDEVA(B5:F5)</f>
        <v>5.3225257959744638</v>
      </c>
      <c r="K5" s="132">
        <v>1</v>
      </c>
      <c r="L5" s="130">
        <v>24.193657716007401</v>
      </c>
      <c r="M5" s="133">
        <v>17.76552985</v>
      </c>
      <c r="N5" s="133">
        <v>20.549905729593998</v>
      </c>
      <c r="O5" s="133">
        <v>26.8205631376246</v>
      </c>
      <c r="P5" s="131">
        <v>18.684342760623601</v>
      </c>
      <c r="Q5" s="130">
        <f t="shared" ref="Q5:Q25" si="2">AVERAGE(L5:P5)</f>
        <v>21.602799838769918</v>
      </c>
      <c r="R5" s="131">
        <f t="shared" ref="R5:R25" si="3">STDEVA(L5:P5)</f>
        <v>3.817336017164068</v>
      </c>
      <c r="U5" s="132">
        <v>1</v>
      </c>
      <c r="V5" s="130">
        <v>44.999396928165297</v>
      </c>
      <c r="W5" s="133">
        <v>41.737138459999997</v>
      </c>
      <c r="X5" s="133">
        <v>43.954458845745698</v>
      </c>
      <c r="Y5" s="133">
        <v>43.4191596662126</v>
      </c>
      <c r="Z5" s="131">
        <v>44.074022239052198</v>
      </c>
      <c r="AA5" s="130">
        <f t="shared" ref="AA5:AA25" si="4">AVERAGE(V5:Z5)</f>
        <v>43.636835227835164</v>
      </c>
      <c r="AB5" s="131">
        <f t="shared" ref="AB5:AB25" si="5">STDEVA(V5:Z5)</f>
        <v>1.2046599201111781</v>
      </c>
    </row>
    <row r="6" spans="1:28" x14ac:dyDescent="0.5">
      <c r="A6" s="127">
        <v>2</v>
      </c>
      <c r="B6" s="128">
        <v>38.955515099777003</v>
      </c>
      <c r="C6" s="128">
        <v>34.926806630000002</v>
      </c>
      <c r="D6" s="128">
        <v>38.877587977862397</v>
      </c>
      <c r="E6" s="128">
        <v>37.802114288019602</v>
      </c>
      <c r="F6" s="129">
        <v>39.158644645616299</v>
      </c>
      <c r="G6" s="130">
        <f t="shared" si="0"/>
        <v>37.944133728255061</v>
      </c>
      <c r="H6" s="131">
        <f t="shared" si="1"/>
        <v>1.7673212938250875</v>
      </c>
      <c r="K6" s="132">
        <v>2</v>
      </c>
      <c r="L6" s="130">
        <v>32.193657716007401</v>
      </c>
      <c r="M6" s="133">
        <v>23.765523600000002</v>
      </c>
      <c r="N6" s="133">
        <v>27.579905729594401</v>
      </c>
      <c r="O6" s="133">
        <v>19.829937530172501</v>
      </c>
      <c r="P6" s="131">
        <v>28.684342760623601</v>
      </c>
      <c r="Q6" s="130">
        <f t="shared" si="2"/>
        <v>26.410673467279583</v>
      </c>
      <c r="R6" s="131">
        <f t="shared" si="3"/>
        <v>4.7508548245044482</v>
      </c>
      <c r="U6" s="132">
        <v>2</v>
      </c>
      <c r="V6" s="130">
        <v>44.999396928165297</v>
      </c>
      <c r="W6" s="133">
        <v>44.315759460000002</v>
      </c>
      <c r="X6" s="133">
        <v>43.954458845745698</v>
      </c>
      <c r="Y6" s="133">
        <v>43.4191596662126</v>
      </c>
      <c r="Z6" s="131">
        <v>44.074022239018497</v>
      </c>
      <c r="AA6" s="130">
        <f t="shared" si="4"/>
        <v>44.152559427828422</v>
      </c>
      <c r="AB6" s="131">
        <f t="shared" si="5"/>
        <v>0.57598939735541899</v>
      </c>
    </row>
    <row r="7" spans="1:28" x14ac:dyDescent="0.5">
      <c r="A7" s="127">
        <v>3</v>
      </c>
      <c r="B7" s="128">
        <v>30.9193538128049</v>
      </c>
      <c r="C7" s="128">
        <v>24.846930759999999</v>
      </c>
      <c r="D7" s="128">
        <v>23.543815068506799</v>
      </c>
      <c r="E7" s="128">
        <v>30.525362076536499</v>
      </c>
      <c r="F7" s="129">
        <v>30.302732766593198</v>
      </c>
      <c r="G7" s="130">
        <f t="shared" si="0"/>
        <v>28.027638896888277</v>
      </c>
      <c r="H7" s="131">
        <f t="shared" si="1"/>
        <v>3.5354726957326843</v>
      </c>
      <c r="K7" s="132">
        <v>3</v>
      </c>
      <c r="L7" s="130">
        <v>35.612684567984999</v>
      </c>
      <c r="M7" s="133">
        <v>35.4689403</v>
      </c>
      <c r="N7" s="133">
        <v>31.980188540811099</v>
      </c>
      <c r="O7" s="133">
        <v>23.467499332202699</v>
      </c>
      <c r="P7" s="131">
        <v>24.631314478752699</v>
      </c>
      <c r="Q7" s="130">
        <f t="shared" si="2"/>
        <v>30.232125443950299</v>
      </c>
      <c r="R7" s="131">
        <f t="shared" si="3"/>
        <v>5.8429363511422245</v>
      </c>
      <c r="U7" s="132">
        <v>3</v>
      </c>
      <c r="V7" s="134">
        <v>0</v>
      </c>
      <c r="W7" s="133">
        <v>2.5786210000000001</v>
      </c>
      <c r="X7" s="135">
        <v>0</v>
      </c>
      <c r="Y7" s="135">
        <v>0</v>
      </c>
      <c r="Z7" s="136">
        <v>0</v>
      </c>
      <c r="AA7" s="130">
        <f t="shared" si="4"/>
        <v>0.51572419999999997</v>
      </c>
      <c r="AB7" s="131">
        <f t="shared" si="5"/>
        <v>1.153194368841697</v>
      </c>
    </row>
    <row r="8" spans="1:28" x14ac:dyDescent="0.5">
      <c r="A8" s="127">
        <v>4</v>
      </c>
      <c r="B8" s="135">
        <v>0</v>
      </c>
      <c r="C8" s="128">
        <v>11.04</v>
      </c>
      <c r="D8" s="135">
        <v>0</v>
      </c>
      <c r="E8" s="128">
        <v>9.2562315823116599</v>
      </c>
      <c r="F8" s="136">
        <v>0</v>
      </c>
      <c r="G8" s="130">
        <f t="shared" si="0"/>
        <v>4.0592463164623318</v>
      </c>
      <c r="H8" s="131">
        <f t="shared" si="1"/>
        <v>5.5940151013565105</v>
      </c>
      <c r="K8" s="132">
        <v>4</v>
      </c>
      <c r="L8" s="130">
        <v>7.7642834521450999</v>
      </c>
      <c r="M8" s="133">
        <v>23.000006249999998</v>
      </c>
      <c r="N8" s="133">
        <v>19.876552230000001</v>
      </c>
      <c r="O8" s="133">
        <v>29.876109341279999</v>
      </c>
      <c r="P8" s="131">
        <v>26.176198719999999</v>
      </c>
      <c r="Q8" s="130">
        <f t="shared" si="2"/>
        <v>21.338629998685018</v>
      </c>
      <c r="R8" s="131">
        <f t="shared" si="3"/>
        <v>8.4476527993632331</v>
      </c>
      <c r="U8" s="132">
        <v>4</v>
      </c>
      <c r="V8" s="134">
        <v>0</v>
      </c>
      <c r="W8" s="135">
        <v>0</v>
      </c>
      <c r="X8" s="135">
        <v>0</v>
      </c>
      <c r="Y8" s="135">
        <v>0</v>
      </c>
      <c r="Z8" s="136">
        <v>0</v>
      </c>
      <c r="AA8" s="134">
        <f t="shared" si="4"/>
        <v>0</v>
      </c>
      <c r="AB8" s="136">
        <f t="shared" si="5"/>
        <v>0</v>
      </c>
    </row>
    <row r="9" spans="1:28" x14ac:dyDescent="0.5">
      <c r="A9" s="127">
        <v>5</v>
      </c>
      <c r="B9" s="135">
        <v>0</v>
      </c>
      <c r="C9" s="135">
        <v>0</v>
      </c>
      <c r="D9" s="135">
        <v>0</v>
      </c>
      <c r="E9" s="135">
        <v>0</v>
      </c>
      <c r="F9" s="136">
        <v>0</v>
      </c>
      <c r="G9" s="132">
        <f t="shared" si="0"/>
        <v>0</v>
      </c>
      <c r="H9" s="137">
        <f t="shared" si="1"/>
        <v>0</v>
      </c>
      <c r="K9" s="132">
        <v>5</v>
      </c>
      <c r="L9" s="134">
        <v>0</v>
      </c>
      <c r="M9" s="135">
        <v>0</v>
      </c>
      <c r="N9" s="135">
        <v>0</v>
      </c>
      <c r="O9" s="135">
        <v>0</v>
      </c>
      <c r="P9" s="131">
        <v>1.8176293475245</v>
      </c>
      <c r="Q9" s="130">
        <f t="shared" si="2"/>
        <v>0.36352586950490001</v>
      </c>
      <c r="R9" s="131">
        <f t="shared" si="3"/>
        <v>0.81286855579267414</v>
      </c>
      <c r="U9" s="132">
        <v>5</v>
      </c>
      <c r="V9" s="134">
        <v>0</v>
      </c>
      <c r="W9" s="135">
        <v>0</v>
      </c>
      <c r="X9" s="135">
        <v>0</v>
      </c>
      <c r="Y9" s="135">
        <v>0</v>
      </c>
      <c r="Z9" s="136">
        <v>0</v>
      </c>
      <c r="AA9" s="134">
        <f t="shared" si="4"/>
        <v>0</v>
      </c>
      <c r="AB9" s="136">
        <f t="shared" si="5"/>
        <v>0</v>
      </c>
    </row>
    <row r="10" spans="1:28" x14ac:dyDescent="0.5">
      <c r="A10" s="127">
        <v>6</v>
      </c>
      <c r="B10" s="135">
        <v>0</v>
      </c>
      <c r="C10" s="135">
        <v>0</v>
      </c>
      <c r="D10" s="135">
        <v>0</v>
      </c>
      <c r="E10" s="135">
        <v>0</v>
      </c>
      <c r="F10" s="136">
        <v>0</v>
      </c>
      <c r="G10" s="134">
        <f t="shared" si="0"/>
        <v>0</v>
      </c>
      <c r="H10" s="136">
        <f t="shared" si="1"/>
        <v>0</v>
      </c>
      <c r="K10" s="132">
        <v>6</v>
      </c>
      <c r="L10" s="134">
        <v>0</v>
      </c>
      <c r="M10" s="135">
        <v>0</v>
      </c>
      <c r="N10" s="135">
        <v>0</v>
      </c>
      <c r="O10" s="135">
        <v>0</v>
      </c>
      <c r="P10" s="136">
        <v>0</v>
      </c>
      <c r="Q10" s="134">
        <f t="shared" si="2"/>
        <v>0</v>
      </c>
      <c r="R10" s="136">
        <f t="shared" si="3"/>
        <v>0</v>
      </c>
      <c r="U10" s="132">
        <v>6</v>
      </c>
      <c r="V10" s="134">
        <v>0</v>
      </c>
      <c r="W10" s="135">
        <v>0</v>
      </c>
      <c r="X10" s="135">
        <v>0</v>
      </c>
      <c r="Y10" s="135">
        <v>0</v>
      </c>
      <c r="Z10" s="136">
        <v>0</v>
      </c>
      <c r="AA10" s="134">
        <f t="shared" si="4"/>
        <v>0</v>
      </c>
      <c r="AB10" s="136">
        <f t="shared" si="5"/>
        <v>0</v>
      </c>
    </row>
    <row r="11" spans="1:28" x14ac:dyDescent="0.5">
      <c r="A11" s="127">
        <v>7</v>
      </c>
      <c r="B11" s="135">
        <v>0</v>
      </c>
      <c r="C11" s="135">
        <v>0</v>
      </c>
      <c r="D11" s="135">
        <v>0</v>
      </c>
      <c r="E11" s="135">
        <v>0</v>
      </c>
      <c r="F11" s="136">
        <v>0</v>
      </c>
      <c r="G11" s="134">
        <f t="shared" si="0"/>
        <v>0</v>
      </c>
      <c r="H11" s="136">
        <f t="shared" si="1"/>
        <v>0</v>
      </c>
      <c r="K11" s="132">
        <v>7</v>
      </c>
      <c r="L11" s="134">
        <v>0</v>
      </c>
      <c r="M11" s="135">
        <v>0</v>
      </c>
      <c r="N11" s="135">
        <v>0</v>
      </c>
      <c r="O11" s="135">
        <v>0</v>
      </c>
      <c r="P11" s="136">
        <v>0</v>
      </c>
      <c r="Q11" s="134">
        <f t="shared" si="2"/>
        <v>0</v>
      </c>
      <c r="R11" s="136">
        <f t="shared" si="3"/>
        <v>0</v>
      </c>
      <c r="U11" s="132">
        <v>7</v>
      </c>
      <c r="V11" s="134">
        <v>0</v>
      </c>
      <c r="W11" s="135">
        <v>0</v>
      </c>
      <c r="X11" s="135">
        <v>0</v>
      </c>
      <c r="Y11" s="135">
        <v>0</v>
      </c>
      <c r="Z11" s="136">
        <v>0</v>
      </c>
      <c r="AA11" s="134">
        <f t="shared" si="4"/>
        <v>0</v>
      </c>
      <c r="AB11" s="136">
        <f t="shared" si="5"/>
        <v>0</v>
      </c>
    </row>
    <row r="12" spans="1:28" x14ac:dyDescent="0.5">
      <c r="A12" s="127">
        <v>8</v>
      </c>
      <c r="B12" s="135">
        <v>0</v>
      </c>
      <c r="C12" s="135">
        <v>0</v>
      </c>
      <c r="D12" s="135">
        <v>0</v>
      </c>
      <c r="E12" s="135">
        <v>0</v>
      </c>
      <c r="F12" s="136">
        <v>0</v>
      </c>
      <c r="G12" s="134">
        <f t="shared" si="0"/>
        <v>0</v>
      </c>
      <c r="H12" s="136">
        <f t="shared" si="1"/>
        <v>0</v>
      </c>
      <c r="K12" s="132">
        <v>8</v>
      </c>
      <c r="L12" s="134">
        <v>0</v>
      </c>
      <c r="M12" s="135">
        <v>0</v>
      </c>
      <c r="N12" s="135">
        <v>0</v>
      </c>
      <c r="O12" s="135">
        <v>0</v>
      </c>
      <c r="P12" s="136">
        <v>0</v>
      </c>
      <c r="Q12" s="134">
        <f t="shared" si="2"/>
        <v>0</v>
      </c>
      <c r="R12" s="136">
        <f t="shared" si="3"/>
        <v>0</v>
      </c>
      <c r="U12" s="132">
        <v>8</v>
      </c>
      <c r="V12" s="134">
        <v>0</v>
      </c>
      <c r="W12" s="135">
        <v>0</v>
      </c>
      <c r="X12" s="135">
        <v>0</v>
      </c>
      <c r="Y12" s="135">
        <v>0</v>
      </c>
      <c r="Z12" s="136">
        <v>0</v>
      </c>
      <c r="AA12" s="134">
        <f t="shared" si="4"/>
        <v>0</v>
      </c>
      <c r="AB12" s="136">
        <f t="shared" si="5"/>
        <v>0</v>
      </c>
    </row>
    <row r="13" spans="1:28" x14ac:dyDescent="0.5">
      <c r="A13" s="127">
        <v>9</v>
      </c>
      <c r="B13" s="128">
        <v>3.0157807782830299</v>
      </c>
      <c r="C13" s="135">
        <v>0</v>
      </c>
      <c r="D13" s="135">
        <v>0</v>
      </c>
      <c r="E13" s="135">
        <v>0</v>
      </c>
      <c r="F13" s="136">
        <v>0</v>
      </c>
      <c r="G13" s="130">
        <f t="shared" si="0"/>
        <v>0.60315615565660596</v>
      </c>
      <c r="H13" s="131">
        <f t="shared" si="1"/>
        <v>1.3486981650956154</v>
      </c>
      <c r="K13" s="132">
        <v>9</v>
      </c>
      <c r="L13" s="134">
        <v>0</v>
      </c>
      <c r="M13" s="135">
        <v>0</v>
      </c>
      <c r="N13" s="135">
        <v>0</v>
      </c>
      <c r="O13" s="135">
        <v>0</v>
      </c>
      <c r="P13" s="136">
        <v>0</v>
      </c>
      <c r="Q13" s="134">
        <f t="shared" si="2"/>
        <v>0</v>
      </c>
      <c r="R13" s="136">
        <f t="shared" si="3"/>
        <v>0</v>
      </c>
      <c r="U13" s="132">
        <v>9</v>
      </c>
      <c r="V13" s="130">
        <v>10.0012061436693</v>
      </c>
      <c r="W13" s="133">
        <v>11.36848109</v>
      </c>
      <c r="X13" s="133">
        <v>12.091082308508399</v>
      </c>
      <c r="Y13" s="133">
        <v>11.889729450989901</v>
      </c>
      <c r="Z13" s="131">
        <v>11.851955521929099</v>
      </c>
      <c r="AA13" s="130">
        <f t="shared" si="4"/>
        <v>11.440490903019342</v>
      </c>
      <c r="AB13" s="131">
        <f t="shared" si="5"/>
        <v>0.84721803778039673</v>
      </c>
    </row>
    <row r="14" spans="1:28" x14ac:dyDescent="0.5">
      <c r="A14" s="127">
        <v>10</v>
      </c>
      <c r="B14" s="135">
        <v>0</v>
      </c>
      <c r="C14" s="135">
        <v>0</v>
      </c>
      <c r="D14" s="135">
        <v>0</v>
      </c>
      <c r="E14" s="135">
        <v>0</v>
      </c>
      <c r="F14" s="136">
        <v>0</v>
      </c>
      <c r="G14" s="134">
        <f t="shared" si="0"/>
        <v>0</v>
      </c>
      <c r="H14" s="136">
        <f t="shared" si="1"/>
        <v>0</v>
      </c>
      <c r="K14" s="132">
        <v>10</v>
      </c>
      <c r="L14" s="134">
        <v>0</v>
      </c>
      <c r="M14" s="135">
        <v>0</v>
      </c>
      <c r="N14" s="135">
        <v>0</v>
      </c>
      <c r="O14" s="135">
        <v>0</v>
      </c>
      <c r="P14" s="136">
        <v>0</v>
      </c>
      <c r="Q14" s="134">
        <f t="shared" si="2"/>
        <v>0</v>
      </c>
      <c r="R14" s="136">
        <f t="shared" si="3"/>
        <v>0</v>
      </c>
      <c r="U14" s="132">
        <v>10</v>
      </c>
      <c r="V14" s="134">
        <v>0</v>
      </c>
      <c r="W14" s="135">
        <v>0</v>
      </c>
      <c r="X14" s="135">
        <v>0</v>
      </c>
      <c r="Y14" s="133">
        <v>0.146140985720984</v>
      </c>
      <c r="Z14" s="136">
        <v>0</v>
      </c>
      <c r="AA14" s="130">
        <f t="shared" si="4"/>
        <v>2.9228197144196798E-2</v>
      </c>
      <c r="AB14" s="131">
        <f t="shared" si="5"/>
        <v>6.5356235674189272E-2</v>
      </c>
    </row>
    <row r="15" spans="1:28" x14ac:dyDescent="0.5">
      <c r="A15" s="127">
        <v>11</v>
      </c>
      <c r="B15" s="135">
        <v>0</v>
      </c>
      <c r="C15" s="135">
        <v>0</v>
      </c>
      <c r="D15" s="135">
        <v>0</v>
      </c>
      <c r="E15" s="135">
        <v>0</v>
      </c>
      <c r="F15" s="136">
        <v>0</v>
      </c>
      <c r="G15" s="134">
        <f t="shared" si="0"/>
        <v>0</v>
      </c>
      <c r="H15" s="136">
        <f t="shared" si="1"/>
        <v>0</v>
      </c>
      <c r="K15" s="132">
        <v>11</v>
      </c>
      <c r="L15" s="134">
        <v>0</v>
      </c>
      <c r="M15" s="135">
        <v>0</v>
      </c>
      <c r="N15" s="135">
        <v>0</v>
      </c>
      <c r="O15" s="135">
        <v>0</v>
      </c>
      <c r="P15" s="136">
        <v>0</v>
      </c>
      <c r="Q15" s="134">
        <f t="shared" si="2"/>
        <v>0</v>
      </c>
      <c r="R15" s="136">
        <f t="shared" si="3"/>
        <v>0</v>
      </c>
      <c r="U15" s="132">
        <v>11</v>
      </c>
      <c r="V15" s="134">
        <v>0</v>
      </c>
      <c r="W15" s="135">
        <v>0</v>
      </c>
      <c r="X15" s="135">
        <v>0</v>
      </c>
      <c r="Y15" s="135">
        <v>0</v>
      </c>
      <c r="Z15" s="136">
        <v>0</v>
      </c>
      <c r="AA15" s="134">
        <f t="shared" si="4"/>
        <v>0</v>
      </c>
      <c r="AB15" s="136">
        <f t="shared" si="5"/>
        <v>0</v>
      </c>
    </row>
    <row r="16" spans="1:28" x14ac:dyDescent="0.5">
      <c r="A16" s="127">
        <v>12</v>
      </c>
      <c r="B16" s="135">
        <v>0</v>
      </c>
      <c r="C16" s="128">
        <v>1.2766346</v>
      </c>
      <c r="D16" s="135">
        <v>0</v>
      </c>
      <c r="E16" s="135">
        <v>0</v>
      </c>
      <c r="F16" s="136">
        <v>0</v>
      </c>
      <c r="G16" s="130">
        <f t="shared" si="0"/>
        <v>0.25532692000000001</v>
      </c>
      <c r="H16" s="131">
        <f t="shared" si="1"/>
        <v>0.57092834960565053</v>
      </c>
      <c r="K16" s="132">
        <v>12</v>
      </c>
      <c r="L16" s="134">
        <v>0</v>
      </c>
      <c r="M16" s="135">
        <v>0</v>
      </c>
      <c r="N16" s="135">
        <v>0</v>
      </c>
      <c r="O16" s="135">
        <v>0</v>
      </c>
      <c r="P16" s="136">
        <v>0</v>
      </c>
      <c r="Q16" s="134">
        <f t="shared" si="2"/>
        <v>0</v>
      </c>
      <c r="R16" s="136">
        <f t="shared" si="3"/>
        <v>0</v>
      </c>
      <c r="U16" s="132">
        <v>12</v>
      </c>
      <c r="V16" s="134">
        <v>0</v>
      </c>
      <c r="W16" s="135">
        <v>0</v>
      </c>
      <c r="X16" s="135">
        <v>0</v>
      </c>
      <c r="Y16" s="135">
        <v>0</v>
      </c>
      <c r="Z16" s="136">
        <v>0</v>
      </c>
      <c r="AA16" s="134">
        <f t="shared" si="4"/>
        <v>0</v>
      </c>
      <c r="AB16" s="136">
        <f t="shared" si="5"/>
        <v>0</v>
      </c>
    </row>
    <row r="17" spans="1:28" x14ac:dyDescent="0.5">
      <c r="A17" s="127">
        <v>13</v>
      </c>
      <c r="B17" s="135">
        <v>0</v>
      </c>
      <c r="C17" s="128">
        <v>2.7654782</v>
      </c>
      <c r="D17" s="128">
        <v>2.43469669781192</v>
      </c>
      <c r="E17" s="135">
        <v>0</v>
      </c>
      <c r="F17" s="129">
        <v>1.36109220788039</v>
      </c>
      <c r="G17" s="130">
        <f t="shared" si="0"/>
        <v>1.3122534211384618</v>
      </c>
      <c r="H17" s="131">
        <f t="shared" si="1"/>
        <v>1.3055788445088481</v>
      </c>
      <c r="K17" s="132">
        <v>13</v>
      </c>
      <c r="L17" s="134">
        <v>0</v>
      </c>
      <c r="M17" s="135">
        <v>0</v>
      </c>
      <c r="N17" s="135">
        <v>0</v>
      </c>
      <c r="O17" s="135">
        <v>0</v>
      </c>
      <c r="P17" s="136">
        <v>0</v>
      </c>
      <c r="Q17" s="134">
        <f t="shared" si="2"/>
        <v>0</v>
      </c>
      <c r="R17" s="136">
        <f t="shared" si="3"/>
        <v>0</v>
      </c>
      <c r="U17" s="132">
        <v>13</v>
      </c>
      <c r="V17" s="134">
        <v>0</v>
      </c>
      <c r="W17" s="135">
        <v>0</v>
      </c>
      <c r="X17" s="135">
        <v>0</v>
      </c>
      <c r="Y17" s="135">
        <v>0</v>
      </c>
      <c r="Z17" s="136">
        <v>0</v>
      </c>
      <c r="AA17" s="134">
        <f t="shared" si="4"/>
        <v>0</v>
      </c>
      <c r="AB17" s="136">
        <f t="shared" si="5"/>
        <v>0</v>
      </c>
    </row>
    <row r="18" spans="1:28" x14ac:dyDescent="0.5">
      <c r="A18" s="127">
        <v>14</v>
      </c>
      <c r="B18" s="135">
        <v>0</v>
      </c>
      <c r="C18" s="135">
        <v>0</v>
      </c>
      <c r="D18" s="135">
        <v>0</v>
      </c>
      <c r="E18" s="128">
        <v>1.2835317911472901</v>
      </c>
      <c r="F18" s="129">
        <v>0.168492040872046</v>
      </c>
      <c r="G18" s="130">
        <f t="shared" si="0"/>
        <v>0.29040476640386725</v>
      </c>
      <c r="H18" s="131">
        <f t="shared" si="1"/>
        <v>0.55994838712433448</v>
      </c>
      <c r="K18" s="132">
        <v>14</v>
      </c>
      <c r="L18" s="134">
        <v>0</v>
      </c>
      <c r="M18" s="135">
        <v>0</v>
      </c>
      <c r="N18" s="135">
        <v>0</v>
      </c>
      <c r="O18" s="135">
        <v>0</v>
      </c>
      <c r="P18" s="136">
        <v>0</v>
      </c>
      <c r="Q18" s="134">
        <f t="shared" si="2"/>
        <v>0</v>
      </c>
      <c r="R18" s="136">
        <f t="shared" si="3"/>
        <v>0</v>
      </c>
      <c r="U18" s="132">
        <v>14</v>
      </c>
      <c r="V18" s="134">
        <v>0</v>
      </c>
      <c r="W18" s="135">
        <v>0</v>
      </c>
      <c r="X18" s="135">
        <v>0</v>
      </c>
      <c r="Y18" s="135">
        <v>0</v>
      </c>
      <c r="Z18" s="136">
        <v>0</v>
      </c>
      <c r="AA18" s="134">
        <f t="shared" si="4"/>
        <v>0</v>
      </c>
      <c r="AB18" s="136">
        <f t="shared" si="5"/>
        <v>0</v>
      </c>
    </row>
    <row r="19" spans="1:28" x14ac:dyDescent="0.5">
      <c r="A19" s="127">
        <v>15</v>
      </c>
      <c r="B19" s="135">
        <v>0</v>
      </c>
      <c r="C19" s="135">
        <v>0</v>
      </c>
      <c r="D19" s="135">
        <v>0</v>
      </c>
      <c r="E19" s="128">
        <v>0.48754040877653598</v>
      </c>
      <c r="F19" s="136">
        <v>0</v>
      </c>
      <c r="G19" s="130">
        <f t="shared" si="0"/>
        <v>9.7508081755307202E-2</v>
      </c>
      <c r="H19" s="131">
        <f t="shared" si="1"/>
        <v>0.21803469916047391</v>
      </c>
      <c r="K19" s="132">
        <v>15</v>
      </c>
      <c r="L19" s="134">
        <v>0</v>
      </c>
      <c r="M19" s="135">
        <v>0</v>
      </c>
      <c r="N19" s="135">
        <v>0</v>
      </c>
      <c r="O19" s="135">
        <v>0</v>
      </c>
      <c r="P19" s="136">
        <v>0</v>
      </c>
      <c r="Q19" s="134">
        <f t="shared" si="2"/>
        <v>0</v>
      </c>
      <c r="R19" s="136">
        <f t="shared" si="3"/>
        <v>0</v>
      </c>
      <c r="U19" s="132">
        <v>15</v>
      </c>
      <c r="V19" s="134">
        <v>0</v>
      </c>
      <c r="W19" s="135">
        <v>0</v>
      </c>
      <c r="X19" s="135">
        <v>0</v>
      </c>
      <c r="Y19" s="135">
        <v>0</v>
      </c>
      <c r="Z19" s="136">
        <v>0</v>
      </c>
      <c r="AA19" s="134">
        <f t="shared" si="4"/>
        <v>0</v>
      </c>
      <c r="AB19" s="136">
        <f t="shared" si="5"/>
        <v>0</v>
      </c>
    </row>
    <row r="20" spans="1:28" x14ac:dyDescent="0.5">
      <c r="A20" s="127">
        <v>16</v>
      </c>
      <c r="B20" s="135">
        <v>0</v>
      </c>
      <c r="C20" s="135">
        <v>0</v>
      </c>
      <c r="D20" s="135">
        <v>0</v>
      </c>
      <c r="E20" s="135">
        <v>0</v>
      </c>
      <c r="F20" s="136">
        <v>0</v>
      </c>
      <c r="G20" s="134">
        <f t="shared" si="0"/>
        <v>0</v>
      </c>
      <c r="H20" s="136">
        <f t="shared" si="1"/>
        <v>0</v>
      </c>
      <c r="K20" s="132">
        <v>16</v>
      </c>
      <c r="L20" s="134">
        <v>0</v>
      </c>
      <c r="M20" s="135">
        <v>0</v>
      </c>
      <c r="N20" s="135">
        <v>0</v>
      </c>
      <c r="O20" s="135">
        <v>0</v>
      </c>
      <c r="P20" s="136">
        <v>0</v>
      </c>
      <c r="Q20" s="134">
        <f t="shared" si="2"/>
        <v>0</v>
      </c>
      <c r="R20" s="136">
        <f t="shared" si="3"/>
        <v>0</v>
      </c>
      <c r="U20" s="132">
        <v>16</v>
      </c>
      <c r="V20" s="134">
        <v>0</v>
      </c>
      <c r="W20" s="135">
        <v>0</v>
      </c>
      <c r="X20" s="135">
        <v>0</v>
      </c>
      <c r="Y20" s="135">
        <v>0</v>
      </c>
      <c r="Z20" s="136">
        <v>0</v>
      </c>
      <c r="AA20" s="134">
        <f t="shared" si="4"/>
        <v>0</v>
      </c>
      <c r="AB20" s="136">
        <f t="shared" si="5"/>
        <v>0</v>
      </c>
    </row>
    <row r="21" spans="1:28" x14ac:dyDescent="0.5">
      <c r="A21" s="127">
        <v>17</v>
      </c>
      <c r="B21" s="135">
        <v>0</v>
      </c>
      <c r="C21" s="135">
        <v>0</v>
      </c>
      <c r="D21" s="135">
        <v>0</v>
      </c>
      <c r="E21" s="135">
        <v>0</v>
      </c>
      <c r="F21" s="136">
        <v>0</v>
      </c>
      <c r="G21" s="134">
        <f t="shared" si="0"/>
        <v>0</v>
      </c>
      <c r="H21" s="136">
        <f t="shared" si="1"/>
        <v>0</v>
      </c>
      <c r="K21" s="132">
        <v>17</v>
      </c>
      <c r="L21" s="134">
        <v>0</v>
      </c>
      <c r="M21" s="135">
        <v>0</v>
      </c>
      <c r="N21" s="135">
        <v>0</v>
      </c>
      <c r="O21" s="135">
        <v>0</v>
      </c>
      <c r="P21" s="136">
        <v>0</v>
      </c>
      <c r="Q21" s="134">
        <f t="shared" si="2"/>
        <v>0</v>
      </c>
      <c r="R21" s="136">
        <f t="shared" si="3"/>
        <v>0</v>
      </c>
      <c r="U21" s="132">
        <v>17</v>
      </c>
      <c r="V21" s="134">
        <v>0</v>
      </c>
      <c r="W21" s="135">
        <v>0</v>
      </c>
      <c r="X21" s="135">
        <v>0</v>
      </c>
      <c r="Y21" s="135">
        <v>0</v>
      </c>
      <c r="Z21" s="136">
        <v>0</v>
      </c>
      <c r="AA21" s="134">
        <f t="shared" si="4"/>
        <v>0</v>
      </c>
      <c r="AB21" s="136">
        <f t="shared" si="5"/>
        <v>0</v>
      </c>
    </row>
    <row r="22" spans="1:28" x14ac:dyDescent="0.5">
      <c r="A22" s="127">
        <v>18</v>
      </c>
      <c r="B22" s="135">
        <v>0</v>
      </c>
      <c r="C22" s="135">
        <v>0</v>
      </c>
      <c r="D22" s="135">
        <v>0</v>
      </c>
      <c r="E22" s="135">
        <v>0</v>
      </c>
      <c r="F22" s="136">
        <v>0</v>
      </c>
      <c r="G22" s="134">
        <f t="shared" si="0"/>
        <v>0</v>
      </c>
      <c r="H22" s="136">
        <f t="shared" si="1"/>
        <v>0</v>
      </c>
      <c r="K22" s="132">
        <v>18</v>
      </c>
      <c r="L22" s="134">
        <v>0</v>
      </c>
      <c r="M22" s="135">
        <v>0</v>
      </c>
      <c r="N22" s="135">
        <v>0</v>
      </c>
      <c r="O22" s="135">
        <v>0</v>
      </c>
      <c r="P22" s="136">
        <v>0</v>
      </c>
      <c r="Q22" s="134">
        <f t="shared" si="2"/>
        <v>0</v>
      </c>
      <c r="R22" s="136">
        <f t="shared" si="3"/>
        <v>0</v>
      </c>
      <c r="U22" s="132">
        <v>18</v>
      </c>
      <c r="V22" s="134">
        <v>0</v>
      </c>
      <c r="W22" s="135">
        <v>0</v>
      </c>
      <c r="X22" s="135">
        <v>0</v>
      </c>
      <c r="Y22" s="135">
        <v>0</v>
      </c>
      <c r="Z22" s="136">
        <v>0</v>
      </c>
      <c r="AA22" s="134">
        <f t="shared" si="4"/>
        <v>0</v>
      </c>
      <c r="AB22" s="136">
        <f t="shared" si="5"/>
        <v>0</v>
      </c>
    </row>
    <row r="23" spans="1:28" x14ac:dyDescent="0.5">
      <c r="A23" s="127">
        <v>19</v>
      </c>
      <c r="B23" s="135">
        <v>0</v>
      </c>
      <c r="C23" s="135">
        <v>0</v>
      </c>
      <c r="D23" s="135">
        <v>0</v>
      </c>
      <c r="E23" s="135">
        <v>0</v>
      </c>
      <c r="F23" s="136">
        <v>0</v>
      </c>
      <c r="G23" s="134">
        <f t="shared" si="0"/>
        <v>0</v>
      </c>
      <c r="H23" s="136">
        <f t="shared" si="1"/>
        <v>0</v>
      </c>
      <c r="K23" s="132">
        <v>19</v>
      </c>
      <c r="L23" s="134">
        <v>0</v>
      </c>
      <c r="M23" s="135">
        <v>0</v>
      </c>
      <c r="N23" s="135">
        <v>0</v>
      </c>
      <c r="O23" s="135">
        <v>0</v>
      </c>
      <c r="P23" s="136">
        <v>0</v>
      </c>
      <c r="Q23" s="134">
        <f t="shared" si="2"/>
        <v>0</v>
      </c>
      <c r="R23" s="136">
        <f t="shared" si="3"/>
        <v>0</v>
      </c>
      <c r="U23" s="132">
        <v>19</v>
      </c>
      <c r="V23" s="134">
        <v>0</v>
      </c>
      <c r="W23" s="135">
        <v>0</v>
      </c>
      <c r="X23" s="135">
        <v>0</v>
      </c>
      <c r="Y23" s="135">
        <v>0</v>
      </c>
      <c r="Z23" s="136">
        <v>0</v>
      </c>
      <c r="AA23" s="134">
        <f t="shared" si="4"/>
        <v>0</v>
      </c>
      <c r="AB23" s="136">
        <f t="shared" si="5"/>
        <v>0</v>
      </c>
    </row>
    <row r="24" spans="1:28" ht="15.25" customHeight="1" thickBot="1" x14ac:dyDescent="0.55000000000000004">
      <c r="A24" s="138">
        <v>20</v>
      </c>
      <c r="B24" s="139">
        <v>0</v>
      </c>
      <c r="C24" s="139">
        <v>0</v>
      </c>
      <c r="D24" s="139">
        <v>0</v>
      </c>
      <c r="E24" s="139">
        <v>0</v>
      </c>
      <c r="F24" s="140">
        <v>0</v>
      </c>
      <c r="G24" s="134">
        <f t="shared" si="0"/>
        <v>0</v>
      </c>
      <c r="H24" s="136">
        <f t="shared" si="1"/>
        <v>0</v>
      </c>
      <c r="K24" s="132">
        <v>20</v>
      </c>
      <c r="L24" s="134">
        <v>0</v>
      </c>
      <c r="M24" s="135">
        <v>0</v>
      </c>
      <c r="N24" s="135">
        <v>0</v>
      </c>
      <c r="O24" s="135">
        <v>0</v>
      </c>
      <c r="P24" s="136">
        <v>0</v>
      </c>
      <c r="Q24" s="134">
        <f t="shared" si="2"/>
        <v>0</v>
      </c>
      <c r="R24" s="136">
        <f t="shared" si="3"/>
        <v>0</v>
      </c>
      <c r="U24" s="132">
        <v>20</v>
      </c>
      <c r="V24" s="134">
        <v>0</v>
      </c>
      <c r="W24" s="135">
        <v>0</v>
      </c>
      <c r="X24" s="135">
        <v>0</v>
      </c>
      <c r="Y24" s="135">
        <v>0</v>
      </c>
      <c r="Z24" s="136">
        <v>0</v>
      </c>
      <c r="AA24" s="134">
        <f t="shared" si="4"/>
        <v>0</v>
      </c>
      <c r="AB24" s="136">
        <f t="shared" si="5"/>
        <v>0</v>
      </c>
    </row>
    <row r="25" spans="1:28" ht="15.7" customHeight="1" thickTop="1" thickBot="1" x14ac:dyDescent="0.55000000000000004">
      <c r="A25" s="141" t="s">
        <v>72</v>
      </c>
      <c r="B25" s="142">
        <v>2.2599999999999998</v>
      </c>
      <c r="C25" s="142">
        <v>2.69</v>
      </c>
      <c r="D25" s="142">
        <v>2.19</v>
      </c>
      <c r="E25" s="142">
        <v>2.5</v>
      </c>
      <c r="F25" s="143">
        <v>2.19</v>
      </c>
      <c r="G25" s="144">
        <f t="shared" si="0"/>
        <v>2.3659999999999997</v>
      </c>
      <c r="H25" s="145">
        <f t="shared" si="1"/>
        <v>0.22142718893577637</v>
      </c>
      <c r="K25" s="144" t="s">
        <v>72</v>
      </c>
      <c r="L25" s="144">
        <v>2.27</v>
      </c>
      <c r="M25" s="142">
        <v>2.64</v>
      </c>
      <c r="N25" s="142">
        <v>2.52</v>
      </c>
      <c r="O25" s="142">
        <v>2.56</v>
      </c>
      <c r="P25" s="143">
        <v>2.64</v>
      </c>
      <c r="Q25" s="144">
        <f t="shared" si="2"/>
        <v>2.5260000000000002</v>
      </c>
      <c r="R25" s="145">
        <f t="shared" si="3"/>
        <v>0.15224979474534611</v>
      </c>
      <c r="U25" s="144" t="s">
        <v>72</v>
      </c>
      <c r="V25" s="144">
        <v>2.25</v>
      </c>
      <c r="W25" s="142">
        <v>2.4300000000000002</v>
      </c>
      <c r="X25" s="142">
        <v>2.42</v>
      </c>
      <c r="Y25" s="142">
        <v>2.39</v>
      </c>
      <c r="Z25" s="143">
        <v>2.39</v>
      </c>
      <c r="AA25" s="144">
        <f t="shared" si="4"/>
        <v>2.3760000000000003</v>
      </c>
      <c r="AB25" s="145">
        <f t="shared" si="5"/>
        <v>7.2663608498339832E-2</v>
      </c>
    </row>
    <row r="26" spans="1:28" ht="15.7" customHeight="1" thickTop="1" thickBot="1" x14ac:dyDescent="0.55000000000000004">
      <c r="A26" s="118"/>
      <c r="B26" s="118"/>
      <c r="C26" s="118"/>
      <c r="D26" s="118"/>
      <c r="E26" s="118"/>
      <c r="F26" s="118"/>
    </row>
    <row r="27" spans="1:28" ht="15.25" customHeight="1" thickBot="1" x14ac:dyDescent="0.6">
      <c r="A27" s="316" t="s">
        <v>73</v>
      </c>
      <c r="B27" s="313"/>
      <c r="C27" s="313"/>
      <c r="D27" s="313"/>
      <c r="E27" s="313"/>
      <c r="F27" s="313"/>
      <c r="G27" s="313"/>
      <c r="H27" s="314"/>
      <c r="K27" s="159"/>
      <c r="Q27" s="70"/>
      <c r="R27" s="70"/>
      <c r="U27" s="316" t="s">
        <v>73</v>
      </c>
      <c r="V27" s="313"/>
      <c r="W27" s="313"/>
      <c r="X27" s="313"/>
      <c r="Y27" s="313"/>
      <c r="Z27" s="313"/>
      <c r="AA27" s="313"/>
      <c r="AB27" s="314"/>
    </row>
    <row r="28" spans="1:28" x14ac:dyDescent="0.5">
      <c r="A28" s="147" t="s">
        <v>74</v>
      </c>
      <c r="B28" s="147" t="s">
        <v>40</v>
      </c>
      <c r="C28" s="147" t="s">
        <v>41</v>
      </c>
      <c r="D28" s="147" t="s">
        <v>42</v>
      </c>
      <c r="E28" s="147" t="s">
        <v>43</v>
      </c>
      <c r="F28" s="147" t="s">
        <v>44</v>
      </c>
      <c r="G28" s="147" t="s">
        <v>58</v>
      </c>
      <c r="H28" s="147" t="s">
        <v>46</v>
      </c>
      <c r="K28" s="152"/>
      <c r="L28" s="152"/>
      <c r="M28" s="152"/>
      <c r="N28" s="152"/>
      <c r="O28" s="152"/>
      <c r="P28" s="152"/>
      <c r="Q28" s="152"/>
      <c r="R28" s="152"/>
      <c r="U28" s="147" t="s">
        <v>74</v>
      </c>
      <c r="V28" s="147" t="s">
        <v>40</v>
      </c>
      <c r="W28" s="147" t="s">
        <v>41</v>
      </c>
      <c r="X28" s="147" t="s">
        <v>42</v>
      </c>
      <c r="Y28" s="147" t="s">
        <v>43</v>
      </c>
      <c r="Z28" s="147" t="s">
        <v>44</v>
      </c>
      <c r="AA28" s="147" t="s">
        <v>58</v>
      </c>
      <c r="AB28" s="147" t="s">
        <v>46</v>
      </c>
    </row>
    <row r="29" spans="1:28" ht="15.3" x14ac:dyDescent="0.55000000000000004">
      <c r="A29" s="307" t="s">
        <v>382</v>
      </c>
      <c r="B29" s="308"/>
      <c r="C29" s="308"/>
      <c r="D29" s="308"/>
      <c r="E29" s="308"/>
      <c r="F29" s="308"/>
      <c r="G29" s="308"/>
      <c r="H29" s="309"/>
      <c r="K29" s="157"/>
      <c r="Q29" s="70"/>
      <c r="R29" s="70"/>
      <c r="U29" s="307" t="s">
        <v>383</v>
      </c>
      <c r="V29" s="308"/>
      <c r="W29" s="308"/>
      <c r="X29" s="308"/>
      <c r="Y29" s="308"/>
      <c r="Z29" s="308"/>
      <c r="AA29" s="308"/>
      <c r="AB29" s="309"/>
    </row>
    <row r="30" spans="1:28" ht="22.75" customHeight="1" x14ac:dyDescent="0.5">
      <c r="A30" s="148" t="s">
        <v>75</v>
      </c>
      <c r="B30" s="149">
        <v>3.02</v>
      </c>
      <c r="C30" s="149">
        <v>4.04</v>
      </c>
      <c r="D30" s="149">
        <v>2.4300000000000002</v>
      </c>
      <c r="E30" s="149">
        <v>1.77</v>
      </c>
      <c r="F30" s="149">
        <v>1.53</v>
      </c>
      <c r="G30" s="150">
        <v>2.56</v>
      </c>
      <c r="H30" s="149">
        <v>1.01</v>
      </c>
      <c r="K30" s="153"/>
      <c r="L30" s="154"/>
      <c r="M30" s="154"/>
      <c r="N30" s="154"/>
      <c r="O30" s="154"/>
      <c r="P30" s="154"/>
      <c r="Q30" s="155"/>
      <c r="R30" s="154"/>
      <c r="U30" s="151"/>
      <c r="V30" s="149">
        <v>10</v>
      </c>
      <c r="W30" s="149">
        <v>11.37</v>
      </c>
      <c r="X30" s="149">
        <v>12.09</v>
      </c>
      <c r="Y30" s="149">
        <v>12.04</v>
      </c>
      <c r="Z30" s="149">
        <v>11.85</v>
      </c>
      <c r="AA30" s="150">
        <v>11.47</v>
      </c>
      <c r="AB30" s="149">
        <v>0.87</v>
      </c>
    </row>
    <row r="31" spans="1:28" ht="15.3" x14ac:dyDescent="0.55000000000000004">
      <c r="A31" s="307" t="s">
        <v>76</v>
      </c>
      <c r="B31" s="308"/>
      <c r="C31" s="308"/>
      <c r="D31" s="308"/>
      <c r="E31" s="308"/>
      <c r="F31" s="308"/>
      <c r="G31" s="308"/>
      <c r="H31" s="309"/>
      <c r="K31" s="157"/>
      <c r="Q31" s="70"/>
      <c r="R31" s="70"/>
      <c r="U31" s="307" t="s">
        <v>77</v>
      </c>
      <c r="V31" s="308"/>
      <c r="W31" s="308"/>
      <c r="X31" s="308"/>
      <c r="Y31" s="308"/>
      <c r="Z31" s="308"/>
      <c r="AA31" s="308"/>
      <c r="AB31" s="309"/>
    </row>
    <row r="32" spans="1:28" ht="23.2" customHeight="1" thickBot="1" x14ac:dyDescent="0.55000000000000004">
      <c r="A32" s="148" t="s">
        <v>78</v>
      </c>
      <c r="B32" s="149">
        <v>1.53</v>
      </c>
      <c r="C32" s="149">
        <v>2.0499999999999998</v>
      </c>
      <c r="D32" s="149">
        <v>1.23</v>
      </c>
      <c r="E32" s="149">
        <v>0.9</v>
      </c>
      <c r="F32" s="149">
        <v>0.77</v>
      </c>
      <c r="G32" s="150">
        <v>1.3</v>
      </c>
      <c r="H32" s="149">
        <v>0.51</v>
      </c>
      <c r="K32" s="153"/>
      <c r="L32" s="154"/>
      <c r="M32" s="154"/>
      <c r="N32" s="154"/>
      <c r="O32" s="154"/>
      <c r="P32" s="154"/>
      <c r="Q32" s="155"/>
      <c r="R32" s="154"/>
      <c r="U32" s="151"/>
      <c r="V32" s="149">
        <v>2.2999999999999998</v>
      </c>
      <c r="W32" s="149">
        <v>2.61</v>
      </c>
      <c r="X32" s="149">
        <v>2.78</v>
      </c>
      <c r="Y32" s="149">
        <v>2.76</v>
      </c>
      <c r="Z32" s="149">
        <v>2.72</v>
      </c>
      <c r="AA32" s="150">
        <v>2.63</v>
      </c>
      <c r="AB32" s="149">
        <v>0.2</v>
      </c>
    </row>
    <row r="33" spans="1:28" ht="34.9" customHeight="1" thickBot="1" x14ac:dyDescent="0.6">
      <c r="A33" s="312" t="s">
        <v>79</v>
      </c>
      <c r="B33" s="313"/>
      <c r="C33" s="313"/>
      <c r="D33" s="313"/>
      <c r="E33" s="313"/>
      <c r="F33" s="313"/>
      <c r="G33" s="313"/>
      <c r="H33" s="314"/>
      <c r="K33" s="158"/>
      <c r="Q33" s="70"/>
      <c r="R33" s="70"/>
      <c r="U33" s="315" t="s">
        <v>80</v>
      </c>
      <c r="V33" s="313"/>
      <c r="W33" s="313"/>
      <c r="X33" s="313"/>
      <c r="Y33" s="313"/>
      <c r="Z33" s="313"/>
      <c r="AA33" s="313"/>
      <c r="AB33" s="314"/>
    </row>
    <row r="34" spans="1:28" ht="34.9" customHeight="1" x14ac:dyDescent="0.55000000000000004">
      <c r="A34" s="310" t="s">
        <v>384</v>
      </c>
      <c r="B34" s="308"/>
      <c r="C34" s="308"/>
      <c r="D34" s="308"/>
      <c r="E34" s="308"/>
      <c r="F34" s="308"/>
      <c r="G34" s="308"/>
      <c r="H34" s="309"/>
      <c r="K34" s="156"/>
      <c r="Q34" s="70"/>
      <c r="R34" s="70"/>
      <c r="U34" s="310" t="s">
        <v>384</v>
      </c>
      <c r="V34" s="308"/>
      <c r="W34" s="308"/>
      <c r="X34" s="308"/>
      <c r="Y34" s="308"/>
      <c r="Z34" s="308"/>
      <c r="AA34" s="308"/>
      <c r="AB34" s="309"/>
    </row>
  </sheetData>
  <mergeCells count="13">
    <mergeCell ref="V3:Z3"/>
    <mergeCell ref="L3:P3"/>
    <mergeCell ref="A29:H29"/>
    <mergeCell ref="U31:AB31"/>
    <mergeCell ref="U34:AB34"/>
    <mergeCell ref="B3:F3"/>
    <mergeCell ref="A33:H33"/>
    <mergeCell ref="U29:AB29"/>
    <mergeCell ref="U33:AB33"/>
    <mergeCell ref="A27:H27"/>
    <mergeCell ref="A31:H31"/>
    <mergeCell ref="U27:AB27"/>
    <mergeCell ref="A34:H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7"/>
  <sheetViews>
    <sheetView workbookViewId="0">
      <selection activeCell="B54" sqref="B54"/>
    </sheetView>
  </sheetViews>
  <sheetFormatPr defaultColWidth="8.7890625" defaultRowHeight="15" x14ac:dyDescent="0.5"/>
  <cols>
    <col min="1" max="1" width="8.26171875" style="105" customWidth="1"/>
    <col min="2" max="2" width="11.3671875" style="105" bestFit="1" customWidth="1"/>
    <col min="3" max="8" width="8.15625" style="105" bestFit="1" customWidth="1"/>
    <col min="9" max="9" width="7.1015625" style="105" bestFit="1" customWidth="1"/>
    <col min="10" max="10" width="8.15625" style="105" bestFit="1" customWidth="1"/>
    <col min="11" max="11" width="9" style="105" bestFit="1" customWidth="1"/>
    <col min="12" max="12" width="8.7890625" style="105" customWidth="1"/>
    <col min="13" max="16384" width="8.7890625" style="105"/>
  </cols>
  <sheetData>
    <row r="1" spans="2:11" ht="15.25" customHeight="1" thickBot="1" x14ac:dyDescent="0.55000000000000004">
      <c r="B1" s="146" t="s">
        <v>385</v>
      </c>
    </row>
    <row r="2" spans="2:11" ht="15.25" customHeight="1" thickBot="1" x14ac:dyDescent="0.6">
      <c r="B2" s="318" t="s">
        <v>81</v>
      </c>
      <c r="C2" s="298"/>
      <c r="D2" s="298"/>
      <c r="E2" s="298"/>
      <c r="F2" s="298"/>
      <c r="G2" s="298"/>
      <c r="H2" s="298"/>
      <c r="I2" s="298"/>
      <c r="J2" s="298"/>
      <c r="K2" s="299"/>
    </row>
    <row r="3" spans="2:11" x14ac:dyDescent="0.5">
      <c r="B3" s="106" t="s">
        <v>82</v>
      </c>
      <c r="C3" s="107" t="s">
        <v>40</v>
      </c>
      <c r="D3" s="108" t="s">
        <v>41</v>
      </c>
      <c r="E3" s="108" t="s">
        <v>42</v>
      </c>
      <c r="F3" s="108" t="s">
        <v>43</v>
      </c>
      <c r="G3" s="108" t="s">
        <v>44</v>
      </c>
      <c r="H3" s="107" t="s">
        <v>58</v>
      </c>
      <c r="I3" s="107" t="s">
        <v>46</v>
      </c>
      <c r="J3" s="107" t="s">
        <v>83</v>
      </c>
      <c r="K3" s="109" t="s">
        <v>84</v>
      </c>
    </row>
    <row r="4" spans="2:11" x14ac:dyDescent="0.5">
      <c r="B4" s="110" t="s">
        <v>85</v>
      </c>
      <c r="C4" s="111">
        <v>0.52869999999999995</v>
      </c>
      <c r="D4" s="112">
        <v>0.52790000000000004</v>
      </c>
      <c r="E4" s="112">
        <v>0.50629999999999997</v>
      </c>
      <c r="F4" s="112">
        <v>0.42180000000000001</v>
      </c>
      <c r="G4" s="112">
        <v>0.50660000000000005</v>
      </c>
      <c r="H4" s="111">
        <f>AVERAGE(C4:G4)</f>
        <v>0.49825999999999998</v>
      </c>
      <c r="I4" s="111">
        <f>STDEV(C4:G4)</f>
        <v>4.4117604196057605E-2</v>
      </c>
      <c r="J4" s="111">
        <f>I4/H4</f>
        <v>8.854333921257497E-2</v>
      </c>
      <c r="K4" s="113">
        <v>0.50649999999999995</v>
      </c>
    </row>
    <row r="5" spans="2:11" x14ac:dyDescent="0.5">
      <c r="B5" s="110" t="s">
        <v>86</v>
      </c>
      <c r="C5" s="111">
        <v>0.28820000000000001</v>
      </c>
      <c r="D5" s="112">
        <v>0.34589999999999999</v>
      </c>
      <c r="E5" s="112">
        <v>0.31869999999999998</v>
      </c>
      <c r="F5" s="112">
        <v>0.35160000000000002</v>
      </c>
      <c r="G5" s="112">
        <v>0.34320000000000001</v>
      </c>
      <c r="H5" s="111">
        <f>AVERAGE(C5:G5)</f>
        <v>0.32951999999999998</v>
      </c>
      <c r="I5" s="111">
        <f>STDEV(C5:G5)</f>
        <v>2.6302984621521565E-2</v>
      </c>
      <c r="J5" s="111">
        <f>I5/H5</f>
        <v>7.9822118904836023E-2</v>
      </c>
      <c r="K5" s="113">
        <v>0.33129999999999998</v>
      </c>
    </row>
    <row r="6" spans="2:11" ht="15.25" customHeight="1" thickBot="1" x14ac:dyDescent="0.55000000000000004">
      <c r="B6" s="114" t="s">
        <v>87</v>
      </c>
      <c r="C6" s="115">
        <v>0.1923</v>
      </c>
      <c r="D6" s="116">
        <v>0.24729999999999999</v>
      </c>
      <c r="E6" s="116">
        <v>0.2447</v>
      </c>
      <c r="F6" s="116">
        <v>0.27089999999999997</v>
      </c>
      <c r="G6" s="116">
        <v>0.2044</v>
      </c>
      <c r="H6" s="115">
        <f>AVERAGE(C6:G6)</f>
        <v>0.23191999999999999</v>
      </c>
      <c r="I6" s="115">
        <f>STDEV(C6:G6)</f>
        <v>3.2582234423071642E-2</v>
      </c>
      <c r="J6" s="115">
        <f>I6/H6</f>
        <v>0.14048911013742515</v>
      </c>
      <c r="K6" s="117">
        <v>0.22969999999999999</v>
      </c>
    </row>
    <row r="7" spans="2:11" ht="15.25" customHeight="1" thickBot="1" x14ac:dyDescent="0.6">
      <c r="B7" s="317" t="s">
        <v>88</v>
      </c>
      <c r="C7" s="298"/>
      <c r="D7" s="298"/>
      <c r="E7" s="298"/>
      <c r="F7" s="298"/>
      <c r="G7" s="298"/>
      <c r="H7" s="298"/>
      <c r="I7" s="298"/>
      <c r="J7" s="298"/>
      <c r="K7" s="299"/>
    </row>
  </sheetData>
  <mergeCells count="2">
    <mergeCell ref="B7:K7"/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workbookViewId="0">
      <selection activeCell="H6" sqref="H6"/>
    </sheetView>
  </sheetViews>
  <sheetFormatPr defaultColWidth="16.7890625" defaultRowHeight="15.6" x14ac:dyDescent="0.6"/>
  <cols>
    <col min="1" max="1" width="12.62890625" style="3" bestFit="1" customWidth="1"/>
    <col min="2" max="2" width="11.62890625" style="3" bestFit="1" customWidth="1"/>
    <col min="3" max="3" width="9.89453125" style="3" bestFit="1" customWidth="1"/>
    <col min="4" max="4" width="9.26171875" style="3" bestFit="1" customWidth="1"/>
    <col min="5" max="6" width="4.47265625" style="3" customWidth="1"/>
    <col min="7" max="7" width="12.62890625" style="3" bestFit="1" customWidth="1"/>
    <col min="8" max="10" width="9.26171875" style="3" bestFit="1" customWidth="1"/>
    <col min="11" max="12" width="4.47265625" style="3" customWidth="1"/>
    <col min="13" max="13" width="12.62890625" style="3" bestFit="1" customWidth="1"/>
    <col min="14" max="15" width="9.26171875" style="3" bestFit="1" customWidth="1"/>
    <col min="16" max="16" width="11.26171875" style="3" bestFit="1" customWidth="1"/>
    <col min="17" max="17" width="16.7890625" style="3" customWidth="1"/>
    <col min="18" max="16384" width="16.7890625" style="3"/>
  </cols>
  <sheetData>
    <row r="1" spans="1:16" x14ac:dyDescent="0.6">
      <c r="A1" s="319" t="s">
        <v>386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</row>
    <row r="2" spans="1:16" ht="15.9" customHeight="1" thickBot="1" x14ac:dyDescent="0.65"/>
    <row r="3" spans="1:16" ht="15.9" customHeight="1" thickBot="1" x14ac:dyDescent="0.65">
      <c r="A3" s="327" t="s">
        <v>89</v>
      </c>
      <c r="B3" s="326"/>
      <c r="C3" s="326"/>
      <c r="D3" s="326"/>
      <c r="G3" s="325" t="s">
        <v>90</v>
      </c>
      <c r="H3" s="326"/>
      <c r="I3" s="326"/>
      <c r="J3" s="326"/>
      <c r="M3" s="328" t="s">
        <v>91</v>
      </c>
      <c r="N3" s="326"/>
      <c r="O3" s="326"/>
      <c r="P3" s="326"/>
    </row>
    <row r="4" spans="1:16" ht="30" customHeight="1" x14ac:dyDescent="0.6">
      <c r="A4" s="93"/>
      <c r="B4" s="93" t="s">
        <v>92</v>
      </c>
      <c r="C4" s="93" t="s">
        <v>93</v>
      </c>
      <c r="D4" s="93" t="s">
        <v>94</v>
      </c>
      <c r="G4" s="94"/>
      <c r="H4" s="94" t="s">
        <v>95</v>
      </c>
      <c r="I4" s="94" t="s">
        <v>96</v>
      </c>
      <c r="J4" s="94" t="s">
        <v>94</v>
      </c>
      <c r="M4" s="95"/>
      <c r="N4" s="95" t="s">
        <v>95</v>
      </c>
      <c r="O4" s="95" t="s">
        <v>96</v>
      </c>
      <c r="P4" s="95" t="s">
        <v>94</v>
      </c>
    </row>
    <row r="5" spans="1:16" x14ac:dyDescent="0.6">
      <c r="A5" s="96" t="s">
        <v>97</v>
      </c>
      <c r="B5" s="97">
        <f>'Table S2E'!B23+'Table S2E'!B24</f>
        <v>4785</v>
      </c>
      <c r="C5" s="97">
        <f>'Table S2E'!B25+'Table S2E'!B26</f>
        <v>4336</v>
      </c>
      <c r="D5" s="98">
        <f>'Table S2E'!B23+'Table S2E'!B24+'Table S2E'!B25+'Table S2E'!B26</f>
        <v>9121</v>
      </c>
      <c r="G5" s="96" t="s">
        <v>97</v>
      </c>
      <c r="H5" s="97">
        <f>'Table S2E'!B23+'Table S2E'!B25</f>
        <v>1909</v>
      </c>
      <c r="I5" s="97">
        <f>'Table S2E'!B24+'Table S2E'!B26</f>
        <v>7212</v>
      </c>
      <c r="J5" s="98">
        <f>'Table S2E'!B23+'Table S2E'!B25+'Table S2E'!B24+'Table S2E'!B26</f>
        <v>9121</v>
      </c>
      <c r="M5" s="96" t="s">
        <v>92</v>
      </c>
      <c r="N5" s="97">
        <f>'Table S2E'!B23+'Table S2E'!B27</f>
        <v>1356</v>
      </c>
      <c r="O5" s="97">
        <f>'Table S2E'!B24+'Table S2E'!B28</f>
        <v>4609</v>
      </c>
      <c r="P5" s="98">
        <f>'Table S2E'!B23+'Table S2E'!B27+'Table S2E'!B24+'Table S2E'!B28</f>
        <v>5965</v>
      </c>
    </row>
    <row r="6" spans="1:16" x14ac:dyDescent="0.6">
      <c r="A6" s="96" t="s">
        <v>98</v>
      </c>
      <c r="B6" s="97">
        <f>'Table S2E'!B27+'Table S2E'!B28</f>
        <v>1180</v>
      </c>
      <c r="C6" s="97">
        <f>'Table S2E'!B29+'Table S2E'!B30</f>
        <v>7706</v>
      </c>
      <c r="D6" s="98">
        <f>'Table S2E'!B27+'Table S2E'!B28+'Table S2E'!B29+'Table S2E'!B30</f>
        <v>8886</v>
      </c>
      <c r="G6" s="96" t="s">
        <v>98</v>
      </c>
      <c r="H6" s="97">
        <f>'Table S2E'!B27+'Table S2E'!B29</f>
        <v>2228</v>
      </c>
      <c r="I6" s="97">
        <f>'Table S2E'!B28+'Table S2E'!B30</f>
        <v>6658</v>
      </c>
      <c r="J6" s="98">
        <f>'Table S2E'!B27+'Table S2E'!B29+'Table S2E'!B28+'Table S2E'!B30</f>
        <v>8886</v>
      </c>
      <c r="M6" s="96" t="s">
        <v>93</v>
      </c>
      <c r="N6" s="97">
        <f>'Table S2E'!B25+'Table S2E'!B29</f>
        <v>2781</v>
      </c>
      <c r="O6" s="97">
        <f>'Table S2E'!B26+'Table S2E'!B30</f>
        <v>9261</v>
      </c>
      <c r="P6" s="98">
        <f>'Table S2E'!B25+'Table S2E'!B29+'Table S2E'!B26+'Table S2E'!B30</f>
        <v>12042</v>
      </c>
    </row>
    <row r="7" spans="1:16" x14ac:dyDescent="0.6">
      <c r="A7" s="99" t="s">
        <v>99</v>
      </c>
      <c r="B7" s="98">
        <f>'Table S2E'!B23+'Table S2E'!B24+'Table S2E'!B27+'Table S2E'!B28</f>
        <v>5965</v>
      </c>
      <c r="C7" s="98">
        <f>'Table S2E'!B25+'Table S2E'!B26+'Table S2E'!B29+'Table S2E'!B30</f>
        <v>12042</v>
      </c>
      <c r="D7" s="98">
        <f>'Table S2E'!B23+'Table S2E'!B24+'Table S2E'!B25+'Table S2E'!B26+'Table S2E'!B27+'Table S2E'!B28+'Table S2E'!B29+'Table S2E'!B30</f>
        <v>18007</v>
      </c>
      <c r="G7" s="99" t="s">
        <v>99</v>
      </c>
      <c r="H7" s="98">
        <f>'Table S2E'!B23+'Table S2E'!B25+'Table S2E'!B27+'Table S2E'!B29</f>
        <v>4137</v>
      </c>
      <c r="I7" s="98">
        <f>'Table S2E'!B24+'Table S2E'!B26+'Table S2E'!B28+'Table S2E'!B30</f>
        <v>13870</v>
      </c>
      <c r="J7" s="98">
        <f>'Table S2E'!B23+'Table S2E'!B25+'Table S2E'!B24+'Table S2E'!B26+'Table S2E'!B27+'Table S2E'!B29+'Table S2E'!B28+'Table S2E'!B30</f>
        <v>18007</v>
      </c>
      <c r="M7" s="99" t="s">
        <v>99</v>
      </c>
      <c r="N7" s="98">
        <f>'Table S2E'!B23+'Table S2E'!B27+'Table S2E'!B25+'Table S2E'!B29</f>
        <v>4137</v>
      </c>
      <c r="O7" s="98">
        <f>'Table S2E'!B24+'Table S2E'!B28+'Table S2E'!B26+'Table S2E'!B30</f>
        <v>13870</v>
      </c>
      <c r="P7" s="98">
        <f>'Table S2E'!B23+'Table S2E'!B27+'Table S2E'!B24+'Table S2E'!B28+'Table S2E'!B25+'Table S2E'!B29+'Table S2E'!B26+'Table S2E'!B30</f>
        <v>18007</v>
      </c>
    </row>
    <row r="8" spans="1:16" x14ac:dyDescent="0.6">
      <c r="A8" s="321" t="s">
        <v>100</v>
      </c>
      <c r="B8" s="322"/>
      <c r="C8" s="322"/>
      <c r="D8" s="322"/>
      <c r="G8" s="321" t="s">
        <v>100</v>
      </c>
      <c r="H8" s="322"/>
      <c r="I8" s="322"/>
      <c r="J8" s="322"/>
      <c r="M8" s="321" t="s">
        <v>100</v>
      </c>
      <c r="N8" s="322"/>
      <c r="O8" s="322"/>
      <c r="P8" s="322"/>
    </row>
    <row r="9" spans="1:16" x14ac:dyDescent="0.6">
      <c r="A9" s="96" t="s">
        <v>97</v>
      </c>
      <c r="B9" s="100">
        <f>'Table S2E'!C15*'Table S2E'!C16*'Table S2E'!C17</f>
        <v>3021.4230576997834</v>
      </c>
      <c r="C9" s="100">
        <f>'Table S2E'!C15*'Table S2E'!C16*(1-'Table S2E'!C17)</f>
        <v>6099.5769423002157</v>
      </c>
      <c r="D9" s="101">
        <f>'Table S2E'!C15*'Table S2E'!C16</f>
        <v>9121</v>
      </c>
      <c r="G9" s="96" t="s">
        <v>97</v>
      </c>
      <c r="H9" s="100">
        <f>'Table S2E'!C15*'Table S2E'!C16*'Table S2E'!C18</f>
        <v>2095.4949186427502</v>
      </c>
      <c r="I9" s="100">
        <f>'Table S2E'!C15*'Table S2E'!C16*(1-'Table S2E'!C18)</f>
        <v>7025.5050813572498</v>
      </c>
      <c r="J9" s="101">
        <f>'Table S2E'!C15*'Table S2E'!C16</f>
        <v>9121</v>
      </c>
      <c r="M9" s="96" t="s">
        <v>92</v>
      </c>
      <c r="N9" s="100">
        <f>'Table S2E'!C15*'Table S2E'!C17*'Table S2E'!C18</f>
        <v>1370.4228910979064</v>
      </c>
      <c r="O9" s="100">
        <f>'Table S2E'!C15*'Table S2E'!C17*(1-'Table S2E'!C18)</f>
        <v>4594.5771089020936</v>
      </c>
      <c r="P9" s="101">
        <f>'Table S2E'!C15*'Table S2E'!C17</f>
        <v>5965</v>
      </c>
    </row>
    <row r="10" spans="1:16" x14ac:dyDescent="0.6">
      <c r="A10" s="96" t="s">
        <v>98</v>
      </c>
      <c r="B10" s="100">
        <f>'Table S2E'!C15*(1-'Table S2E'!C16)*'Table S2E'!C17</f>
        <v>2943.5769423002166</v>
      </c>
      <c r="C10" s="100">
        <f>'Table S2E'!C15*(1-'Table S2E'!C16)*(1-'Table S2E'!C17)</f>
        <v>5942.4230576997825</v>
      </c>
      <c r="D10" s="101">
        <f>'Table S2E'!C15*(1-'Table S2E'!C16)</f>
        <v>8886</v>
      </c>
      <c r="G10" s="96" t="s">
        <v>98</v>
      </c>
      <c r="H10" s="100">
        <f>'Table S2E'!C15*(1-'Table S2E'!C16)*'Table S2E'!C18</f>
        <v>2041.50508135725</v>
      </c>
      <c r="I10" s="100">
        <f>'Table S2E'!C15*(1-'Table S2E'!C16)*(1-'Table S2E'!C18)</f>
        <v>6844.4949186427502</v>
      </c>
      <c r="J10" s="101">
        <f>'Table S2E'!C15*(1-'Table S2E'!C16)</f>
        <v>8886</v>
      </c>
      <c r="M10" s="96" t="s">
        <v>93</v>
      </c>
      <c r="N10" s="100">
        <f>'Table S2E'!C15*(1-'Table S2E'!C17)*'Table S2E'!C18</f>
        <v>2766.5771089020932</v>
      </c>
      <c r="O10" s="100">
        <f>'Table S2E'!C15*(1-'Table S2E'!C17)*(1-'Table S2E'!C18)</f>
        <v>9275.4228910979054</v>
      </c>
      <c r="P10" s="101">
        <f>'Table S2E'!C15*(1-'Table S2E'!C17)</f>
        <v>12041.999999999998</v>
      </c>
    </row>
    <row r="11" spans="1:16" x14ac:dyDescent="0.6">
      <c r="A11" s="321" t="s">
        <v>101</v>
      </c>
      <c r="B11" s="322"/>
      <c r="C11" s="322"/>
      <c r="D11" s="322"/>
      <c r="G11" s="321" t="s">
        <v>101</v>
      </c>
      <c r="H11" s="322"/>
      <c r="I11" s="322"/>
      <c r="J11" s="322"/>
      <c r="M11" s="321" t="s">
        <v>101</v>
      </c>
      <c r="N11" s="322"/>
      <c r="O11" s="322"/>
      <c r="P11" s="322"/>
    </row>
    <row r="12" spans="1:16" x14ac:dyDescent="0.6">
      <c r="A12" s="96" t="s">
        <v>97</v>
      </c>
      <c r="B12" s="102">
        <f>(B5-B9)^2/B9</f>
        <v>1029.3836950396437</v>
      </c>
      <c r="C12" s="102">
        <f>(C5-C9)^2/C9</f>
        <v>509.90481156879827</v>
      </c>
      <c r="G12" s="96" t="s">
        <v>97</v>
      </c>
      <c r="H12" s="102">
        <f>(H5-H9)^2/H9</f>
        <v>16.597680275976632</v>
      </c>
      <c r="I12" s="102">
        <f>(I5-I9)^2/I9</f>
        <v>4.9505842322794038</v>
      </c>
      <c r="M12" s="96" t="s">
        <v>92</v>
      </c>
      <c r="N12" s="102">
        <f>(N5-N9)^2/N9</f>
        <v>0.15179240581380879</v>
      </c>
      <c r="O12" s="102">
        <f>(O5-O9)^2/O9</f>
        <v>4.5275067256793575E-2</v>
      </c>
    </row>
    <row r="13" spans="1:16" x14ac:dyDescent="0.6">
      <c r="A13" s="96" t="s">
        <v>98</v>
      </c>
      <c r="B13" s="102">
        <f>(B6-B10)^2/B10</f>
        <v>1056.6068740104197</v>
      </c>
      <c r="C13" s="102">
        <f>(C6-C10)^2/C10</f>
        <v>523.38980264674979</v>
      </c>
      <c r="G13" s="96" t="s">
        <v>98</v>
      </c>
      <c r="H13" s="102">
        <f>(H6-H10)^2/H10</f>
        <v>17.036624105017161</v>
      </c>
      <c r="I13" s="102">
        <f>(I6-I10)^2/I10</f>
        <v>5.0815078530970554</v>
      </c>
      <c r="M13" s="96" t="s">
        <v>93</v>
      </c>
      <c r="N13" s="102">
        <f>(N6-N10)^2/N10</f>
        <v>7.5190308975205664E-2</v>
      </c>
      <c r="O13" s="102">
        <f>(O6-O10)^2/O10</f>
        <v>2.2426986894763301E-2</v>
      </c>
    </row>
    <row r="14" spans="1:16" x14ac:dyDescent="0.6">
      <c r="A14" s="321" t="s">
        <v>102</v>
      </c>
      <c r="B14" s="322"/>
      <c r="C14" s="322"/>
      <c r="D14" s="322"/>
      <c r="G14" s="321" t="s">
        <v>102</v>
      </c>
      <c r="H14" s="322"/>
      <c r="I14" s="322"/>
      <c r="J14" s="322"/>
      <c r="M14" s="321" t="s">
        <v>102</v>
      </c>
      <c r="N14" s="322"/>
      <c r="O14" s="322"/>
      <c r="P14" s="322"/>
    </row>
    <row r="15" spans="1:16" x14ac:dyDescent="0.6">
      <c r="A15" s="103" t="s">
        <v>103</v>
      </c>
      <c r="B15" s="104" t="s">
        <v>104</v>
      </c>
      <c r="C15" s="329">
        <f>B12+C12+B13+C13</f>
        <v>3119.2851832656115</v>
      </c>
      <c r="D15" s="324"/>
      <c r="G15" s="103" t="s">
        <v>103</v>
      </c>
      <c r="H15" s="104" t="s">
        <v>104</v>
      </c>
      <c r="I15" s="329">
        <f>H12+I12+H13+I13</f>
        <v>43.666396466370252</v>
      </c>
      <c r="J15" s="324"/>
      <c r="M15" s="103" t="s">
        <v>103</v>
      </c>
      <c r="N15" s="104" t="s">
        <v>104</v>
      </c>
      <c r="O15" s="329">
        <f>N12+O12+N13+O13</f>
        <v>0.29468476894057133</v>
      </c>
      <c r="P15" s="324"/>
    </row>
    <row r="16" spans="1:16" x14ac:dyDescent="0.6">
      <c r="A16" s="103" t="s">
        <v>8</v>
      </c>
      <c r="B16" s="104" t="s">
        <v>104</v>
      </c>
      <c r="C16" s="333">
        <f ca="1">IFERROR(1-_xludf.gamma.dist(C15,0.5,2,TRUE()),1-GAMMADIST(C15,0.5,2,TRUE()))</f>
        <v>0</v>
      </c>
      <c r="D16" s="324"/>
      <c r="G16" s="103" t="s">
        <v>8</v>
      </c>
      <c r="H16" s="104" t="s">
        <v>104</v>
      </c>
      <c r="I16" s="333">
        <f ca="1">IFERROR(1-_xludf.gamma.dist(I15,0.5,2,TRUE()),1-GAMMADIST(I15,0.5,2,TRUE()))</f>
        <v>3.8940073388005203E-11</v>
      </c>
      <c r="J16" s="324"/>
      <c r="M16" s="103" t="s">
        <v>8</v>
      </c>
      <c r="N16" s="104" t="s">
        <v>104</v>
      </c>
      <c r="O16" s="333">
        <f ca="1">IFERROR(1-_xludf.gamma.dist(O15,0.5,2,TRUE()),1-GAMMADIST(O15,0.5,2,TRUE()))</f>
        <v>0.58723394258452721</v>
      </c>
      <c r="P16" s="324"/>
    </row>
    <row r="17" spans="1:16" x14ac:dyDescent="0.6">
      <c r="A17" s="103" t="s">
        <v>105</v>
      </c>
      <c r="B17" s="104" t="s">
        <v>104</v>
      </c>
      <c r="C17" s="323" t="str">
        <f ca="1">IF(C16&lt;0.001,"***",IF(C16&lt;0.01,"**",IF(C16&lt;0.05,"*","ns")))</f>
        <v>***</v>
      </c>
      <c r="D17" s="324"/>
      <c r="G17" s="103" t="s">
        <v>105</v>
      </c>
      <c r="H17" s="104" t="s">
        <v>104</v>
      </c>
      <c r="I17" s="323" t="str">
        <f ca="1">IF(I16&lt;0.001,"***",IF(I16&lt;0.01,"**",IF(I16&lt;0.05,"*","ns")))</f>
        <v>***</v>
      </c>
      <c r="J17" s="324"/>
      <c r="M17" s="103" t="s">
        <v>105</v>
      </c>
      <c r="N17" s="104" t="s">
        <v>104</v>
      </c>
      <c r="O17" s="323" t="str">
        <f ca="1">IF(O16&lt;0.001,"***",IF(O16&lt;0.01,"**",IF(O16&lt;0.05,"*","ns")))</f>
        <v>ns</v>
      </c>
      <c r="P17" s="324"/>
    </row>
    <row r="18" spans="1:16" x14ac:dyDescent="0.6">
      <c r="A18" s="103" t="s">
        <v>106</v>
      </c>
      <c r="B18" s="104" t="s">
        <v>104</v>
      </c>
      <c r="C18" s="331">
        <f>SQRT(C15/'Table S2E'!C15)</f>
        <v>0.4162045837403715</v>
      </c>
      <c r="D18" s="324"/>
      <c r="G18" s="103" t="s">
        <v>106</v>
      </c>
      <c r="H18" s="104" t="s">
        <v>104</v>
      </c>
      <c r="I18" s="331">
        <f>SQRT(I15/'Table S2E'!C15)</f>
        <v>4.9243962794814924E-2</v>
      </c>
      <c r="J18" s="324"/>
      <c r="M18" s="103" t="s">
        <v>106</v>
      </c>
      <c r="N18" s="104" t="s">
        <v>104</v>
      </c>
      <c r="O18" s="331">
        <f>SQRT(O15/'Table S2E'!C15)</f>
        <v>4.045369189699121E-3</v>
      </c>
      <c r="P18" s="324"/>
    </row>
    <row r="19" spans="1:16" x14ac:dyDescent="0.6">
      <c r="A19" s="103" t="s">
        <v>107</v>
      </c>
      <c r="B19" s="104" t="s">
        <v>104</v>
      </c>
      <c r="C19" s="329">
        <f>(B5*C6)/(C5*B6)</f>
        <v>7.2067534711364063</v>
      </c>
      <c r="D19" s="324"/>
      <c r="G19" s="103" t="s">
        <v>107</v>
      </c>
      <c r="H19" s="104" t="s">
        <v>104</v>
      </c>
      <c r="I19" s="329">
        <f>(H5*I6)/(I5*H6)</f>
        <v>0.79100424586590667</v>
      </c>
      <c r="J19" s="324"/>
      <c r="M19" s="103" t="s">
        <v>107</v>
      </c>
      <c r="N19" s="104" t="s">
        <v>104</v>
      </c>
      <c r="O19" s="329">
        <f>(N5*O6)/(O5*N6)</f>
        <v>0.97973782826761491</v>
      </c>
      <c r="P19" s="324"/>
    </row>
    <row r="20" spans="1:16" x14ac:dyDescent="0.6">
      <c r="A20" s="103" t="s">
        <v>108</v>
      </c>
      <c r="B20" s="104" t="s">
        <v>104</v>
      </c>
      <c r="C20" s="332">
        <f>B5/'Table S2E'!C15-'Table S2E'!C16*'Table S2E'!C17</f>
        <v>9.7938409635153906E-2</v>
      </c>
      <c r="D20" s="324"/>
      <c r="G20" s="103" t="s">
        <v>108</v>
      </c>
      <c r="H20" s="104" t="s">
        <v>104</v>
      </c>
      <c r="I20" s="332">
        <f>H5/'Table S2E'!C15-'Table S2E'!C16*'Table S2E'!C18</f>
        <v>-1.0356801168587226E-2</v>
      </c>
      <c r="J20" s="324"/>
      <c r="M20" s="103" t="s">
        <v>108</v>
      </c>
      <c r="N20" s="104" t="s">
        <v>104</v>
      </c>
      <c r="O20" s="332">
        <f>N5/'Table S2E'!C15-'Table S2E'!C17*'Table S2E'!C18</f>
        <v>-8.0096024312246994E-4</v>
      </c>
      <c r="P20" s="324"/>
    </row>
    <row r="22" spans="1:16" x14ac:dyDescent="0.6">
      <c r="A22" s="330" t="s">
        <v>375</v>
      </c>
      <c r="B22" s="320"/>
      <c r="C22" s="320"/>
      <c r="D22" s="320"/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</row>
  </sheetData>
  <mergeCells count="32">
    <mergeCell ref="O19:P19"/>
    <mergeCell ref="A22:P22"/>
    <mergeCell ref="O18:P18"/>
    <mergeCell ref="O15:P15"/>
    <mergeCell ref="M14:P14"/>
    <mergeCell ref="C20:D20"/>
    <mergeCell ref="C16:D16"/>
    <mergeCell ref="I16:J16"/>
    <mergeCell ref="O20:P20"/>
    <mergeCell ref="I18:J18"/>
    <mergeCell ref="O16:P16"/>
    <mergeCell ref="I20:J20"/>
    <mergeCell ref="C19:D19"/>
    <mergeCell ref="I19:J19"/>
    <mergeCell ref="C18:D18"/>
    <mergeCell ref="C15:D15"/>
    <mergeCell ref="A1:P1"/>
    <mergeCell ref="G8:J8"/>
    <mergeCell ref="M11:P11"/>
    <mergeCell ref="C17:D17"/>
    <mergeCell ref="I17:J17"/>
    <mergeCell ref="O17:P17"/>
    <mergeCell ref="G3:J3"/>
    <mergeCell ref="A3:D3"/>
    <mergeCell ref="A14:D14"/>
    <mergeCell ref="G14:J14"/>
    <mergeCell ref="A8:D8"/>
    <mergeCell ref="M8:P8"/>
    <mergeCell ref="M3:P3"/>
    <mergeCell ref="I15:J15"/>
    <mergeCell ref="A11:D11"/>
    <mergeCell ref="G11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opLeftCell="A7" workbookViewId="0">
      <selection activeCell="C25" sqref="C25"/>
    </sheetView>
  </sheetViews>
  <sheetFormatPr defaultColWidth="79.5234375" defaultRowHeight="15.6" x14ac:dyDescent="0.6"/>
  <cols>
    <col min="1" max="1" width="19.15625" style="14" customWidth="1"/>
    <col min="2" max="2" width="17.89453125" style="14" bestFit="1" customWidth="1"/>
    <col min="3" max="3" width="28.89453125" style="14" bestFit="1" customWidth="1"/>
    <col min="4" max="4" width="79" style="14" bestFit="1" customWidth="1"/>
    <col min="5" max="5" width="29.26171875" style="14" bestFit="1" customWidth="1"/>
    <col min="6" max="6" width="79.5234375" style="14" customWidth="1"/>
    <col min="7" max="16384" width="79.5234375" style="14"/>
  </cols>
  <sheetData>
    <row r="1" spans="1:4" ht="15.9" customHeight="1" thickBot="1" x14ac:dyDescent="0.65">
      <c r="A1" s="334" t="s">
        <v>387</v>
      </c>
      <c r="B1" s="326"/>
      <c r="C1" s="326"/>
      <c r="D1" s="335"/>
    </row>
    <row r="3" spans="1:4" ht="15.9" customHeight="1" thickBot="1" x14ac:dyDescent="0.65">
      <c r="A3" s="336" t="s">
        <v>109</v>
      </c>
      <c r="B3" s="326"/>
      <c r="C3" s="326"/>
      <c r="D3" s="335"/>
    </row>
    <row r="4" spans="1:4" ht="15.9" customHeight="1" thickBot="1" x14ac:dyDescent="0.65">
      <c r="A4" s="73" t="s">
        <v>110</v>
      </c>
      <c r="B4" s="73" t="s">
        <v>111</v>
      </c>
      <c r="C4" s="73" t="s">
        <v>112</v>
      </c>
      <c r="D4" s="73" t="s">
        <v>113</v>
      </c>
    </row>
    <row r="5" spans="1:4" x14ac:dyDescent="0.6">
      <c r="A5" s="74" t="s">
        <v>114</v>
      </c>
      <c r="B5" s="75" t="s">
        <v>115</v>
      </c>
      <c r="C5" s="76" t="s">
        <v>116</v>
      </c>
      <c r="D5" s="77" t="s">
        <v>117</v>
      </c>
    </row>
    <row r="6" spans="1:4" ht="45" customHeight="1" x14ac:dyDescent="0.6">
      <c r="A6" s="74" t="s">
        <v>118</v>
      </c>
      <c r="B6" s="75" t="s">
        <v>119</v>
      </c>
      <c r="C6" s="78">
        <f>SUM(D23:D30)</f>
        <v>3272.3673445547406</v>
      </c>
      <c r="D6" s="77" t="s">
        <v>120</v>
      </c>
    </row>
    <row r="7" spans="1:4" ht="45" customHeight="1" x14ac:dyDescent="0.6">
      <c r="A7" s="74" t="s">
        <v>121</v>
      </c>
      <c r="B7" s="75" t="s">
        <v>122</v>
      </c>
      <c r="C7" s="79">
        <v>4</v>
      </c>
      <c r="D7" s="77" t="s">
        <v>123</v>
      </c>
    </row>
    <row r="8" spans="1:4" ht="105" customHeight="1" x14ac:dyDescent="0.6">
      <c r="A8" s="74" t="s">
        <v>124</v>
      </c>
      <c r="B8" s="75" t="s">
        <v>125</v>
      </c>
      <c r="C8" s="80">
        <f ca="1">IFERROR(1-_xludf.gamma.dist(C6,C7/2,2,TRUE()),1-GAMMADIST(C6,C7/2,2,TRUE()))</f>
        <v>0</v>
      </c>
      <c r="D8" s="81" t="s">
        <v>126</v>
      </c>
    </row>
    <row r="9" spans="1:4" ht="30" customHeight="1" x14ac:dyDescent="0.6">
      <c r="A9" s="74" t="s">
        <v>127</v>
      </c>
      <c r="B9" s="75" t="s">
        <v>105</v>
      </c>
      <c r="C9" s="82" t="str">
        <f ca="1">IF(C8&lt;0.001,"***",IF(C8&lt;0.01,"**",IF(C8&lt;0.05,"*","ns")))</f>
        <v>***</v>
      </c>
      <c r="D9" s="77" t="s">
        <v>128</v>
      </c>
    </row>
    <row r="10" spans="1:4" ht="45" customHeight="1" x14ac:dyDescent="0.6">
      <c r="A10" s="74" t="s">
        <v>129</v>
      </c>
      <c r="B10" s="75" t="s">
        <v>130</v>
      </c>
      <c r="C10" s="83">
        <f>SQRT(C6/(C15*(8-1)))</f>
        <v>0.1611244035775718</v>
      </c>
      <c r="D10" s="77" t="s">
        <v>131</v>
      </c>
    </row>
    <row r="11" spans="1:4" ht="45" customHeight="1" x14ac:dyDescent="0.6">
      <c r="A11" s="74" t="s">
        <v>132</v>
      </c>
      <c r="B11" s="75" t="s">
        <v>133</v>
      </c>
      <c r="C11" s="83">
        <f>SUM(E23:E30)</f>
        <v>0.13918198179553265</v>
      </c>
      <c r="D11" s="77" t="s">
        <v>134</v>
      </c>
    </row>
    <row r="12" spans="1:4" ht="45" customHeight="1" x14ac:dyDescent="0.6">
      <c r="A12" s="74" t="s">
        <v>135</v>
      </c>
      <c r="B12" s="75" t="s">
        <v>136</v>
      </c>
      <c r="C12" s="82" t="str">
        <f ca="1">IF(C8&lt;0.05,"No","Yes")</f>
        <v>No</v>
      </c>
      <c r="D12" s="77" t="s">
        <v>137</v>
      </c>
    </row>
    <row r="14" spans="1:4" ht="15.9" customHeight="1" thickBot="1" x14ac:dyDescent="0.65">
      <c r="A14" s="339" t="s">
        <v>138</v>
      </c>
      <c r="B14" s="326"/>
      <c r="C14" s="326"/>
      <c r="D14" s="335"/>
    </row>
    <row r="15" spans="1:4" x14ac:dyDescent="0.6">
      <c r="A15" s="74" t="s">
        <v>139</v>
      </c>
      <c r="B15" s="75" t="s">
        <v>140</v>
      </c>
      <c r="C15" s="84">
        <f>SUM(B23:B30)</f>
        <v>18007</v>
      </c>
      <c r="D15" s="85"/>
    </row>
    <row r="16" spans="1:4" x14ac:dyDescent="0.6">
      <c r="A16" s="74" t="s">
        <v>141</v>
      </c>
      <c r="B16" s="75" t="s">
        <v>142</v>
      </c>
      <c r="C16" s="86">
        <f>(B23+B24+B25+B26)/C15</f>
        <v>0.50652524018437273</v>
      </c>
      <c r="D16" s="85"/>
    </row>
    <row r="17" spans="1:5" x14ac:dyDescent="0.6">
      <c r="A17" s="74" t="s">
        <v>143</v>
      </c>
      <c r="B17" s="75" t="s">
        <v>144</v>
      </c>
      <c r="C17" s="86">
        <f>(B23+B24+B27+B28)/C15</f>
        <v>0.33126006553007165</v>
      </c>
      <c r="D17" s="85"/>
    </row>
    <row r="18" spans="1:5" x14ac:dyDescent="0.6">
      <c r="A18" s="74" t="s">
        <v>145</v>
      </c>
      <c r="B18" s="75" t="s">
        <v>146</v>
      </c>
      <c r="C18" s="86">
        <f>(B23+B25+B27+B29)/C15</f>
        <v>0.22974398844893654</v>
      </c>
      <c r="D18" s="85"/>
    </row>
    <row r="21" spans="1:5" ht="15.9" customHeight="1" thickBot="1" x14ac:dyDescent="0.65">
      <c r="A21" s="336" t="s">
        <v>147</v>
      </c>
      <c r="B21" s="326"/>
      <c r="C21" s="326"/>
      <c r="D21" s="335"/>
    </row>
    <row r="22" spans="1:5" ht="30.25" customHeight="1" thickBot="1" x14ac:dyDescent="0.65">
      <c r="A22" s="87" t="s">
        <v>148</v>
      </c>
      <c r="B22" s="87" t="s">
        <v>149</v>
      </c>
      <c r="C22" s="87" t="s">
        <v>150</v>
      </c>
      <c r="D22" s="87" t="s">
        <v>151</v>
      </c>
      <c r="E22" s="87" t="s">
        <v>152</v>
      </c>
    </row>
    <row r="23" spans="1:5" x14ac:dyDescent="0.6">
      <c r="A23" s="88" t="s">
        <v>47</v>
      </c>
      <c r="B23" s="89">
        <v>1169</v>
      </c>
      <c r="C23" s="78">
        <f>C15*C16*C17*C18</f>
        <v>694.1537840675295</v>
      </c>
      <c r="D23" s="78">
        <f t="shared" ref="D23:D30" si="0">(B23-C23)^2/C23</f>
        <v>324.82561351772608</v>
      </c>
      <c r="E23" s="86">
        <f>(B23/C15)*LOG(B23/C23,2)</f>
        <v>4.8815842293811681E-2</v>
      </c>
    </row>
    <row r="24" spans="1:5" x14ac:dyDescent="0.6">
      <c r="A24" s="90" t="s">
        <v>153</v>
      </c>
      <c r="B24" s="91">
        <v>3616</v>
      </c>
      <c r="C24" s="78">
        <f>C15*C16*C17*(1-C18)</f>
        <v>2327.2692736322538</v>
      </c>
      <c r="D24" s="78">
        <f t="shared" si="0"/>
        <v>713.63761121300149</v>
      </c>
      <c r="E24" s="86">
        <f>(B24/C15)*LOG(B24/C24,2)</f>
        <v>0.1276667751709426</v>
      </c>
    </row>
    <row r="25" spans="1:5" x14ac:dyDescent="0.6">
      <c r="A25" s="88" t="s">
        <v>154</v>
      </c>
      <c r="B25" s="89">
        <v>740</v>
      </c>
      <c r="C25" s="78">
        <f>C15*C16*(1-C17)*C18</f>
        <v>1401.3411345752204</v>
      </c>
      <c r="D25" s="78">
        <f t="shared" si="0"/>
        <v>312.10965373810825</v>
      </c>
      <c r="E25" s="86">
        <f>(B25/C15)*LOG(B25/C25,2)</f>
        <v>-3.7857286494808781E-2</v>
      </c>
    </row>
    <row r="26" spans="1:5" x14ac:dyDescent="0.6">
      <c r="A26" s="90" t="s">
        <v>155</v>
      </c>
      <c r="B26" s="91">
        <v>3596</v>
      </c>
      <c r="C26" s="78">
        <f>C15*C16*(1-C17)*(1-C18)</f>
        <v>4698.2358077249955</v>
      </c>
      <c r="D26" s="78">
        <f t="shared" si="0"/>
        <v>258.59148530466592</v>
      </c>
      <c r="E26" s="86">
        <f>(B26/C15)*LOG(B26/C26,2)</f>
        <v>-7.7029547989255764E-2</v>
      </c>
    </row>
    <row r="27" spans="1:5" x14ac:dyDescent="0.6">
      <c r="A27" s="88" t="s">
        <v>156</v>
      </c>
      <c r="B27" s="89">
        <v>187</v>
      </c>
      <c r="C27" s="78">
        <f>C15*(1-C16)*C17*C18</f>
        <v>676.26910703037686</v>
      </c>
      <c r="D27" s="78">
        <f t="shared" si="0"/>
        <v>353.97781239111021</v>
      </c>
      <c r="E27" s="86">
        <f>(B27/C15)*LOG(B27/C27,2)</f>
        <v>-1.925931953096657E-2</v>
      </c>
    </row>
    <row r="28" spans="1:5" x14ac:dyDescent="0.6">
      <c r="A28" s="90" t="s">
        <v>157</v>
      </c>
      <c r="B28" s="91">
        <v>993</v>
      </c>
      <c r="C28" s="78">
        <f>C15*(1-C16)*C17*(1-C18)</f>
        <v>2267.3078352698399</v>
      </c>
      <c r="D28" s="78">
        <f t="shared" si="0"/>
        <v>716.20643380207093</v>
      </c>
      <c r="E28" s="86">
        <f>(B28/C15)*LOG(B28/C28,2)</f>
        <v>-6.5684281415333931E-2</v>
      </c>
    </row>
    <row r="29" spans="1:5" x14ac:dyDescent="0.6">
      <c r="A29" s="88" t="s">
        <v>158</v>
      </c>
      <c r="B29" s="89">
        <v>2041</v>
      </c>
      <c r="C29" s="78">
        <f>C15*(1-C16)*(1-C17)*C18</f>
        <v>1365.235974326873</v>
      </c>
      <c r="D29" s="78">
        <f t="shared" si="0"/>
        <v>334.48944137229057</v>
      </c>
      <c r="E29" s="86">
        <f>(B29/C15)*LOG(B29/C29,2)</f>
        <v>6.5754254099928286E-2</v>
      </c>
    </row>
    <row r="30" spans="1:5" x14ac:dyDescent="0.6">
      <c r="A30" s="90" t="s">
        <v>159</v>
      </c>
      <c r="B30" s="91">
        <v>5665</v>
      </c>
      <c r="C30" s="78">
        <f>C15*(1-C16)*(1-C17)*(1-C18)</f>
        <v>4577.1870833729099</v>
      </c>
      <c r="D30" s="78">
        <f t="shared" si="0"/>
        <v>258.52929321576704</v>
      </c>
      <c r="E30" s="86">
        <f>(B30/C15)*LOG(B30/C30,2)</f>
        <v>9.6775545661215143E-2</v>
      </c>
    </row>
    <row r="31" spans="1:5" x14ac:dyDescent="0.6">
      <c r="A31" s="92" t="s">
        <v>160</v>
      </c>
      <c r="B31" s="84">
        <f>SUM(B23:B30)</f>
        <v>18007</v>
      </c>
      <c r="C31" s="78">
        <f>SUM(C23:C30)</f>
        <v>18007</v>
      </c>
      <c r="D31" s="78">
        <f>SUM(D23:D30)</f>
        <v>3272.3673445547406</v>
      </c>
      <c r="E31" s="86">
        <f>SUM(E23:E30)</f>
        <v>0.13918198179553265</v>
      </c>
    </row>
    <row r="33" spans="1:5" ht="49.15" customHeight="1" x14ac:dyDescent="0.6">
      <c r="A33" s="337" t="s">
        <v>161</v>
      </c>
      <c r="B33" s="338"/>
      <c r="C33" s="338"/>
      <c r="D33" s="338"/>
      <c r="E33" s="338"/>
    </row>
  </sheetData>
  <mergeCells count="5">
    <mergeCell ref="A1:D1"/>
    <mergeCell ref="A3:D3"/>
    <mergeCell ref="A21:D21"/>
    <mergeCell ref="A33:E3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sqref="A1:G1"/>
    </sheetView>
  </sheetViews>
  <sheetFormatPr defaultColWidth="8.7890625" defaultRowHeight="15.6" x14ac:dyDescent="0.6"/>
  <cols>
    <col min="1" max="1" width="7.7890625" style="3" bestFit="1" customWidth="1"/>
    <col min="2" max="2" width="14" style="3" customWidth="1"/>
    <col min="3" max="3" width="26" style="3" customWidth="1"/>
    <col min="4" max="4" width="31.5234375" style="3" bestFit="1" customWidth="1"/>
    <col min="5" max="6" width="32" style="3" customWidth="1"/>
    <col min="7" max="7" width="9" style="3" customWidth="1"/>
    <col min="8" max="8" width="55.47265625" style="3" customWidth="1"/>
    <col min="9" max="9" width="8.7890625" style="3" customWidth="1"/>
    <col min="10" max="16384" width="8.7890625" style="3"/>
  </cols>
  <sheetData>
    <row r="1" spans="1:8" x14ac:dyDescent="0.6">
      <c r="A1" s="343" t="s">
        <v>388</v>
      </c>
      <c r="B1" s="341"/>
      <c r="C1" s="341"/>
      <c r="D1" s="341"/>
      <c r="E1" s="341"/>
      <c r="F1" s="341"/>
      <c r="G1" s="342"/>
    </row>
    <row r="2" spans="1:8" x14ac:dyDescent="0.6">
      <c r="A2" s="340" t="s">
        <v>162</v>
      </c>
      <c r="B2" s="341"/>
      <c r="C2" s="341"/>
      <c r="D2" s="341"/>
      <c r="E2" s="341"/>
      <c r="F2" s="341"/>
      <c r="G2" s="342"/>
    </row>
    <row r="3" spans="1:8" ht="45" customHeight="1" x14ac:dyDescent="0.6">
      <c r="A3" s="4" t="s">
        <v>163</v>
      </c>
      <c r="B3" s="4" t="s">
        <v>164</v>
      </c>
      <c r="C3" s="4" t="s">
        <v>165</v>
      </c>
      <c r="D3" s="4" t="s">
        <v>166</v>
      </c>
      <c r="E3" s="4" t="s">
        <v>167</v>
      </c>
      <c r="F3" s="4" t="s">
        <v>168</v>
      </c>
      <c r="G3" s="4" t="s">
        <v>169</v>
      </c>
      <c r="H3" s="4" t="s">
        <v>170</v>
      </c>
    </row>
    <row r="4" spans="1:8" ht="45" customHeight="1" x14ac:dyDescent="0.6">
      <c r="A4" s="1" t="s">
        <v>171</v>
      </c>
      <c r="B4" s="5" t="s">
        <v>136</v>
      </c>
      <c r="C4" s="6" t="s">
        <v>172</v>
      </c>
      <c r="D4" s="7" t="s">
        <v>173</v>
      </c>
      <c r="E4" s="8" t="s">
        <v>174</v>
      </c>
      <c r="F4" s="8" t="s">
        <v>174</v>
      </c>
      <c r="G4" s="1">
        <v>3</v>
      </c>
      <c r="H4" s="9" t="s">
        <v>175</v>
      </c>
    </row>
    <row r="5" spans="1:8" ht="30" customHeight="1" x14ac:dyDescent="0.6">
      <c r="A5" s="2" t="s">
        <v>176</v>
      </c>
      <c r="B5" s="10" t="s">
        <v>177</v>
      </c>
      <c r="C5" s="11" t="s">
        <v>172</v>
      </c>
      <c r="D5" s="12" t="s">
        <v>178</v>
      </c>
      <c r="E5" s="8" t="s">
        <v>174</v>
      </c>
      <c r="F5" s="8" t="s">
        <v>174</v>
      </c>
      <c r="G5" s="2">
        <v>5</v>
      </c>
      <c r="H5" s="13" t="s">
        <v>179</v>
      </c>
    </row>
    <row r="6" spans="1:8" x14ac:dyDescent="0.6">
      <c r="A6" s="1" t="s">
        <v>180</v>
      </c>
      <c r="B6" s="5" t="s">
        <v>136</v>
      </c>
      <c r="C6" s="6" t="s">
        <v>181</v>
      </c>
      <c r="D6" s="7" t="s">
        <v>182</v>
      </c>
      <c r="E6" s="6" t="s">
        <v>183</v>
      </c>
      <c r="F6" s="8" t="s">
        <v>174</v>
      </c>
      <c r="G6" s="1">
        <v>7</v>
      </c>
      <c r="H6" s="9" t="s">
        <v>184</v>
      </c>
    </row>
    <row r="7" spans="1:8" ht="75" customHeight="1" x14ac:dyDescent="0.6">
      <c r="A7" s="2" t="s">
        <v>185</v>
      </c>
      <c r="B7" s="10" t="s">
        <v>177</v>
      </c>
      <c r="C7" s="11" t="s">
        <v>181</v>
      </c>
      <c r="D7" s="12" t="s">
        <v>186</v>
      </c>
      <c r="E7" s="11" t="s">
        <v>187</v>
      </c>
      <c r="F7" s="8" t="s">
        <v>174</v>
      </c>
      <c r="G7" s="2">
        <v>10</v>
      </c>
      <c r="H7" s="13" t="s">
        <v>188</v>
      </c>
    </row>
    <row r="8" spans="1:8" x14ac:dyDescent="0.6">
      <c r="A8" s="1" t="s">
        <v>189</v>
      </c>
      <c r="B8" s="5" t="s">
        <v>136</v>
      </c>
      <c r="C8" s="6" t="s">
        <v>181</v>
      </c>
      <c r="D8" s="7" t="s">
        <v>182</v>
      </c>
      <c r="E8" s="6" t="s">
        <v>183</v>
      </c>
      <c r="F8" s="6" t="s">
        <v>190</v>
      </c>
      <c r="G8" s="1">
        <v>11</v>
      </c>
      <c r="H8" s="9" t="s">
        <v>191</v>
      </c>
    </row>
    <row r="9" spans="1:8" ht="105" customHeight="1" x14ac:dyDescent="0.6">
      <c r="A9" s="2" t="s">
        <v>192</v>
      </c>
      <c r="B9" s="10" t="s">
        <v>177</v>
      </c>
      <c r="C9" s="11" t="s">
        <v>181</v>
      </c>
      <c r="D9" s="12" t="s">
        <v>193</v>
      </c>
      <c r="E9" s="11" t="s">
        <v>187</v>
      </c>
      <c r="F9" s="11" t="s">
        <v>194</v>
      </c>
      <c r="G9" s="2">
        <v>15</v>
      </c>
      <c r="H9" s="13" t="s">
        <v>195</v>
      </c>
    </row>
    <row r="10" spans="1:8" ht="36" customHeight="1" x14ac:dyDescent="0.6">
      <c r="A10" s="344" t="s">
        <v>196</v>
      </c>
      <c r="B10" s="345"/>
      <c r="C10" s="345"/>
      <c r="D10" s="345"/>
      <c r="E10" s="345"/>
      <c r="F10" s="345"/>
      <c r="G10" s="345"/>
      <c r="H10" s="345"/>
    </row>
  </sheetData>
  <mergeCells count="3">
    <mergeCell ref="A2:G2"/>
    <mergeCell ref="A1:G1"/>
    <mergeCell ref="A10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3"/>
  <sheetViews>
    <sheetView workbookViewId="0">
      <selection activeCell="A2" sqref="A2:S2"/>
    </sheetView>
  </sheetViews>
  <sheetFormatPr defaultColWidth="27.47265625" defaultRowHeight="15.6" x14ac:dyDescent="0.6"/>
  <cols>
    <col min="1" max="1" width="8.26171875" style="3" bestFit="1" customWidth="1"/>
    <col min="2" max="2" width="10.7890625" style="3" bestFit="1" customWidth="1"/>
    <col min="3" max="5" width="9.5234375" style="3" bestFit="1" customWidth="1"/>
    <col min="6" max="6" width="10.7890625" style="3" bestFit="1" customWidth="1"/>
    <col min="7" max="9" width="9.5234375" style="3" bestFit="1" customWidth="1"/>
    <col min="10" max="10" width="27.47265625" style="3" customWidth="1"/>
    <col min="11" max="16384" width="27.47265625" style="3"/>
  </cols>
  <sheetData>
    <row r="1" spans="1:19" ht="15.9" customHeight="1" thickBot="1" x14ac:dyDescent="0.65">
      <c r="A1" s="349" t="s">
        <v>389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</row>
    <row r="2" spans="1:19" x14ac:dyDescent="0.6">
      <c r="A2" s="346" t="s">
        <v>197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</row>
    <row r="4" spans="1:19" ht="15.9" customHeight="1" thickBot="1" x14ac:dyDescent="0.65"/>
    <row r="5" spans="1:19" ht="15.9" customHeight="1" thickBot="1" x14ac:dyDescent="0.65">
      <c r="A5" s="327" t="s">
        <v>198</v>
      </c>
      <c r="B5" s="326"/>
      <c r="C5" s="326"/>
      <c r="D5" s="326"/>
      <c r="E5" s="326"/>
      <c r="F5" s="326"/>
      <c r="G5" s="326"/>
      <c r="H5" s="326"/>
      <c r="I5" s="326"/>
    </row>
    <row r="6" spans="1:19" ht="30.25" customHeight="1" thickBot="1" x14ac:dyDescent="0.65">
      <c r="A6" s="15" t="s">
        <v>199</v>
      </c>
      <c r="B6" s="352" t="s">
        <v>18</v>
      </c>
      <c r="C6" s="326"/>
      <c r="D6" s="351" t="s">
        <v>19</v>
      </c>
      <c r="E6" s="326"/>
      <c r="F6" s="352" t="s">
        <v>23</v>
      </c>
      <c r="G6" s="326"/>
      <c r="H6" s="351" t="s">
        <v>24</v>
      </c>
      <c r="I6" s="326"/>
    </row>
    <row r="7" spans="1:19" ht="30.25" customHeight="1" thickBot="1" x14ac:dyDescent="0.65">
      <c r="A7" s="15"/>
      <c r="B7" s="51" t="s">
        <v>200</v>
      </c>
      <c r="C7" s="51" t="s">
        <v>201</v>
      </c>
      <c r="D7" s="51" t="s">
        <v>200</v>
      </c>
      <c r="E7" s="51" t="s">
        <v>201</v>
      </c>
      <c r="F7" s="51" t="s">
        <v>200</v>
      </c>
      <c r="G7" s="51" t="s">
        <v>201</v>
      </c>
      <c r="H7" s="51" t="s">
        <v>200</v>
      </c>
      <c r="I7" s="51" t="s">
        <v>201</v>
      </c>
    </row>
    <row r="8" spans="1:19" x14ac:dyDescent="0.6">
      <c r="A8" s="52" t="s">
        <v>202</v>
      </c>
      <c r="B8" s="53">
        <v>196.65639999999999</v>
      </c>
      <c r="C8" s="54" t="s">
        <v>203</v>
      </c>
      <c r="D8" s="53">
        <v>65.536000000000001</v>
      </c>
      <c r="E8" s="54" t="s">
        <v>203</v>
      </c>
      <c r="F8" s="53">
        <v>193.65350000000001</v>
      </c>
      <c r="G8" s="54" t="s">
        <v>203</v>
      </c>
      <c r="H8" s="53">
        <v>63.903100000000002</v>
      </c>
      <c r="I8" s="54" t="s">
        <v>203</v>
      </c>
    </row>
    <row r="9" spans="1:19" x14ac:dyDescent="0.6">
      <c r="A9" s="55" t="s">
        <v>204</v>
      </c>
      <c r="B9" s="56">
        <v>196.66370000000001</v>
      </c>
      <c r="C9" s="57">
        <v>7.3000000000149603E-3</v>
      </c>
      <c r="D9" s="56">
        <v>65.685500000000005</v>
      </c>
      <c r="E9" s="58">
        <v>0.14950000000000299</v>
      </c>
      <c r="F9" s="56">
        <v>194.76480000000001</v>
      </c>
      <c r="G9" s="58">
        <v>1.1113</v>
      </c>
      <c r="H9" s="56">
        <v>64.397599999999997</v>
      </c>
      <c r="I9" s="58">
        <v>0.494499999999995</v>
      </c>
    </row>
    <row r="10" spans="1:19" x14ac:dyDescent="0.6">
      <c r="A10" s="59" t="s">
        <v>205</v>
      </c>
      <c r="B10" s="60">
        <v>196.66390000000001</v>
      </c>
      <c r="C10" s="61">
        <v>7.5000000000215996E-3</v>
      </c>
      <c r="D10" s="60">
        <v>65.694699999999997</v>
      </c>
      <c r="E10" s="62">
        <v>0.15869999999999601</v>
      </c>
      <c r="F10" s="60">
        <v>195.0522</v>
      </c>
      <c r="G10" s="62">
        <v>1.3986999999999901</v>
      </c>
      <c r="H10" s="60">
        <v>64.436300000000003</v>
      </c>
      <c r="I10" s="62">
        <v>0.53320000000000101</v>
      </c>
    </row>
    <row r="11" spans="1:19" x14ac:dyDescent="0.6">
      <c r="A11" s="55" t="s">
        <v>206</v>
      </c>
      <c r="B11" s="56">
        <v>196.66380000000001</v>
      </c>
      <c r="C11" s="57">
        <v>7.40000000001828E-3</v>
      </c>
      <c r="D11" s="56">
        <v>65.696600000000004</v>
      </c>
      <c r="E11" s="58">
        <v>0.16060000000000199</v>
      </c>
      <c r="F11" s="56">
        <v>195.08359999999999</v>
      </c>
      <c r="G11" s="58">
        <v>1.4300999999999799</v>
      </c>
      <c r="H11" s="56">
        <v>64.442300000000003</v>
      </c>
      <c r="I11" s="58">
        <v>0.53920000000000101</v>
      </c>
    </row>
    <row r="12" spans="1:19" x14ac:dyDescent="0.6">
      <c r="A12" s="59" t="s">
        <v>207</v>
      </c>
      <c r="B12" s="60">
        <v>196.66370000000001</v>
      </c>
      <c r="C12" s="61">
        <v>7.3000000000149603E-3</v>
      </c>
      <c r="D12" s="60">
        <v>65.694800000000001</v>
      </c>
      <c r="E12" s="62">
        <v>0.158799999999999</v>
      </c>
      <c r="F12" s="60">
        <v>195.10810000000001</v>
      </c>
      <c r="G12" s="62">
        <v>1.4545999999999999</v>
      </c>
      <c r="H12" s="60">
        <v>64.444000000000003</v>
      </c>
      <c r="I12" s="62">
        <v>0.54090000000000105</v>
      </c>
    </row>
    <row r="13" spans="1:19" x14ac:dyDescent="0.6">
      <c r="A13" s="55" t="s">
        <v>208</v>
      </c>
      <c r="B13" s="56">
        <v>196.66399999999999</v>
      </c>
      <c r="C13" s="57">
        <v>7.5999999999965002E-3</v>
      </c>
      <c r="D13" s="56">
        <v>65.6952</v>
      </c>
      <c r="E13" s="58">
        <v>0.15919999999999901</v>
      </c>
      <c r="F13" s="56">
        <v>195.1114</v>
      </c>
      <c r="G13" s="58">
        <v>1.4579</v>
      </c>
      <c r="H13" s="56">
        <v>64.449600000000004</v>
      </c>
      <c r="I13" s="58">
        <v>0.54650000000000198</v>
      </c>
    </row>
    <row r="14" spans="1:19" x14ac:dyDescent="0.6">
      <c r="A14" s="59" t="s">
        <v>209</v>
      </c>
      <c r="B14" s="60">
        <v>196.66409999999999</v>
      </c>
      <c r="C14" s="61">
        <v>7.6999999999998198E-3</v>
      </c>
      <c r="D14" s="60">
        <v>65.696100000000001</v>
      </c>
      <c r="E14" s="62">
        <v>0.16009999999999999</v>
      </c>
      <c r="F14" s="60">
        <v>195.1129</v>
      </c>
      <c r="G14" s="62">
        <v>1.45939999999999</v>
      </c>
      <c r="H14" s="60">
        <v>64.4452</v>
      </c>
      <c r="I14" s="62">
        <v>0.54209999999999803</v>
      </c>
    </row>
    <row r="15" spans="1:19" x14ac:dyDescent="0.6">
      <c r="A15" s="346" t="s">
        <v>210</v>
      </c>
      <c r="B15" s="341"/>
      <c r="C15" s="341"/>
      <c r="D15" s="341"/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341"/>
      <c r="S15" s="341"/>
    </row>
    <row r="16" spans="1:19" ht="15.9" customHeight="1" thickBot="1" x14ac:dyDescent="0.65"/>
    <row r="17" spans="1:19" ht="15.9" customHeight="1" thickBot="1" x14ac:dyDescent="0.65">
      <c r="A17" s="327" t="s">
        <v>211</v>
      </c>
      <c r="B17" s="326"/>
      <c r="C17" s="326"/>
      <c r="D17" s="326"/>
      <c r="E17" s="326"/>
      <c r="F17" s="326"/>
      <c r="G17" s="326"/>
      <c r="H17" s="326"/>
      <c r="I17" s="326"/>
    </row>
    <row r="18" spans="1:19" ht="30.25" customHeight="1" thickBot="1" x14ac:dyDescent="0.65">
      <c r="A18" s="15" t="s">
        <v>199</v>
      </c>
      <c r="B18" s="352" t="s">
        <v>18</v>
      </c>
      <c r="C18" s="326"/>
      <c r="D18" s="351" t="s">
        <v>19</v>
      </c>
      <c r="E18" s="326"/>
      <c r="F18" s="352" t="s">
        <v>23</v>
      </c>
      <c r="G18" s="326"/>
      <c r="H18" s="351" t="s">
        <v>24</v>
      </c>
      <c r="I18" s="326"/>
    </row>
    <row r="19" spans="1:19" ht="30.25" customHeight="1" thickBot="1" x14ac:dyDescent="0.65">
      <c r="A19" s="15"/>
      <c r="B19" s="51" t="s">
        <v>200</v>
      </c>
      <c r="C19" s="51" t="s">
        <v>201</v>
      </c>
      <c r="D19" s="51" t="s">
        <v>200</v>
      </c>
      <c r="E19" s="51" t="s">
        <v>201</v>
      </c>
      <c r="F19" s="51" t="s">
        <v>200</v>
      </c>
      <c r="G19" s="51" t="s">
        <v>201</v>
      </c>
      <c r="H19" s="51" t="s">
        <v>200</v>
      </c>
      <c r="I19" s="51" t="s">
        <v>201</v>
      </c>
    </row>
    <row r="20" spans="1:19" x14ac:dyDescent="0.6">
      <c r="A20" s="52" t="s">
        <v>202</v>
      </c>
      <c r="B20" s="53">
        <v>196.65639999999999</v>
      </c>
      <c r="C20" s="54" t="s">
        <v>203</v>
      </c>
      <c r="D20" s="53">
        <v>65.536000000000001</v>
      </c>
      <c r="E20" s="54" t="s">
        <v>203</v>
      </c>
      <c r="F20" s="53">
        <v>193.65350000000001</v>
      </c>
      <c r="G20" s="54" t="s">
        <v>203</v>
      </c>
      <c r="H20" s="53">
        <v>63.903100000000002</v>
      </c>
      <c r="I20" s="54" t="s">
        <v>203</v>
      </c>
    </row>
    <row r="21" spans="1:19" x14ac:dyDescent="0.6">
      <c r="A21" s="55" t="s">
        <v>212</v>
      </c>
      <c r="B21" s="56">
        <v>196.65649999999999</v>
      </c>
      <c r="C21" s="63">
        <v>1.0000000000331999E-4</v>
      </c>
      <c r="D21" s="56">
        <v>65.534700000000001</v>
      </c>
      <c r="E21" s="57">
        <v>-1.3000000000005199E-3</v>
      </c>
      <c r="F21" s="56">
        <v>193.65350000000001</v>
      </c>
      <c r="G21" s="63">
        <v>0</v>
      </c>
      <c r="H21" s="56">
        <v>63.909799999999997</v>
      </c>
      <c r="I21" s="57">
        <v>6.6999999999950398E-3</v>
      </c>
    </row>
    <row r="22" spans="1:19" x14ac:dyDescent="0.6">
      <c r="A22" s="64" t="s">
        <v>213</v>
      </c>
      <c r="B22" s="65">
        <v>196.65649999999999</v>
      </c>
      <c r="C22" s="66">
        <v>1.0000000000331999E-4</v>
      </c>
      <c r="D22" s="65">
        <v>65.536100000000005</v>
      </c>
      <c r="E22" s="66">
        <v>1.0000000000331999E-4</v>
      </c>
      <c r="F22" s="65">
        <v>193.6534</v>
      </c>
      <c r="G22" s="66">
        <v>-1.0000000000331999E-4</v>
      </c>
      <c r="H22" s="65">
        <v>63.906799999999997</v>
      </c>
      <c r="I22" s="67">
        <v>3.69999999999493E-3</v>
      </c>
    </row>
    <row r="23" spans="1:19" x14ac:dyDescent="0.6">
      <c r="A23" s="55" t="s">
        <v>214</v>
      </c>
      <c r="B23" s="56">
        <v>196.6602</v>
      </c>
      <c r="C23" s="57">
        <v>3.8000000000124601E-3</v>
      </c>
      <c r="D23" s="56">
        <v>65.536799999999999</v>
      </c>
      <c r="E23" s="63">
        <v>7.9999999999813597E-4</v>
      </c>
      <c r="F23" s="56">
        <v>193.6575</v>
      </c>
      <c r="G23" s="57">
        <v>3.9999999999906803E-3</v>
      </c>
      <c r="H23" s="56">
        <v>63.909300000000002</v>
      </c>
      <c r="I23" s="57">
        <v>6.1999999999997604E-3</v>
      </c>
    </row>
    <row r="24" spans="1:19" x14ac:dyDescent="0.6">
      <c r="A24" s="59" t="s">
        <v>215</v>
      </c>
      <c r="B24" s="60">
        <v>196.661</v>
      </c>
      <c r="C24" s="61">
        <v>4.6000000000106E-3</v>
      </c>
      <c r="D24" s="60">
        <v>65.542299999999997</v>
      </c>
      <c r="E24" s="61">
        <v>6.2999999999959798E-3</v>
      </c>
      <c r="F24" s="60">
        <v>193.66069999999999</v>
      </c>
      <c r="G24" s="61">
        <v>7.1999999999832198E-3</v>
      </c>
      <c r="H24" s="60">
        <v>63.919699999999999</v>
      </c>
      <c r="I24" s="62">
        <v>1.6599999999996801E-2</v>
      </c>
    </row>
    <row r="25" spans="1:19" x14ac:dyDescent="0.6">
      <c r="A25" s="55" t="s">
        <v>216</v>
      </c>
      <c r="B25" s="56">
        <v>196.6626</v>
      </c>
      <c r="C25" s="57">
        <v>6.2000000000068702E-3</v>
      </c>
      <c r="D25" s="56">
        <v>65.604200000000006</v>
      </c>
      <c r="E25" s="58">
        <v>6.8200000000004493E-2</v>
      </c>
      <c r="F25" s="56">
        <v>193.66370000000001</v>
      </c>
      <c r="G25" s="58">
        <v>1.0199999999997499E-2</v>
      </c>
      <c r="H25" s="56">
        <v>63.997100000000003</v>
      </c>
      <c r="I25" s="58">
        <v>9.4000000000001194E-2</v>
      </c>
    </row>
    <row r="26" spans="1:19" x14ac:dyDescent="0.6">
      <c r="A26" s="346" t="s">
        <v>217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</row>
    <row r="28" spans="1:19" ht="15.9" customHeight="1" thickBot="1" x14ac:dyDescent="0.65">
      <c r="A28" s="364" t="s">
        <v>218</v>
      </c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</row>
    <row r="29" spans="1:19" ht="15.9" customHeight="1" thickBot="1" x14ac:dyDescent="0.65">
      <c r="A29" s="352" t="s">
        <v>219</v>
      </c>
      <c r="B29" s="326"/>
      <c r="C29" s="326"/>
      <c r="D29" s="352" t="s">
        <v>220</v>
      </c>
      <c r="E29" s="326"/>
      <c r="F29" s="326"/>
      <c r="G29" s="352" t="s">
        <v>221</v>
      </c>
      <c r="H29" s="326"/>
      <c r="I29" s="326"/>
      <c r="J29" s="352" t="s">
        <v>222</v>
      </c>
      <c r="K29" s="326"/>
      <c r="L29" s="326"/>
      <c r="M29" s="352" t="s">
        <v>10</v>
      </c>
      <c r="N29" s="326"/>
      <c r="O29" s="326"/>
    </row>
    <row r="30" spans="1:19" x14ac:dyDescent="0.6">
      <c r="A30" s="350" t="s">
        <v>223</v>
      </c>
      <c r="B30" s="341"/>
      <c r="C30" s="341"/>
      <c r="D30" s="357">
        <v>196.65639999999999</v>
      </c>
      <c r="E30" s="341"/>
      <c r="F30" s="341"/>
      <c r="G30" s="359">
        <v>7.6999999999998198E-3</v>
      </c>
      <c r="H30" s="341"/>
      <c r="I30" s="341"/>
      <c r="J30" s="354">
        <v>3.9154586375016601E-3</v>
      </c>
      <c r="K30" s="341"/>
      <c r="L30" s="341"/>
      <c r="M30" s="360" t="s">
        <v>224</v>
      </c>
      <c r="N30" s="341"/>
      <c r="O30" s="341"/>
    </row>
    <row r="31" spans="1:19" x14ac:dyDescent="0.6">
      <c r="A31" s="347" t="s">
        <v>225</v>
      </c>
      <c r="B31" s="341"/>
      <c r="C31" s="341"/>
      <c r="D31" s="353">
        <v>65.536000000000001</v>
      </c>
      <c r="E31" s="341"/>
      <c r="F31" s="341"/>
      <c r="G31" s="348">
        <v>0.16009999999999999</v>
      </c>
      <c r="H31" s="341"/>
      <c r="I31" s="341"/>
      <c r="J31" s="356">
        <v>0.244293212890625</v>
      </c>
      <c r="K31" s="341"/>
      <c r="L31" s="341"/>
      <c r="M31" s="365" t="s">
        <v>226</v>
      </c>
      <c r="N31" s="341"/>
      <c r="O31" s="341"/>
    </row>
    <row r="32" spans="1:19" x14ac:dyDescent="0.6">
      <c r="A32" s="350" t="s">
        <v>227</v>
      </c>
      <c r="B32" s="341"/>
      <c r="C32" s="341"/>
      <c r="D32" s="357">
        <v>193.65350000000001</v>
      </c>
      <c r="E32" s="341"/>
      <c r="F32" s="341"/>
      <c r="G32" s="359">
        <v>1.45939999999999</v>
      </c>
      <c r="H32" s="341"/>
      <c r="I32" s="341"/>
      <c r="J32" s="354">
        <v>0.75361405809860804</v>
      </c>
      <c r="K32" s="341"/>
      <c r="L32" s="341"/>
      <c r="M32" s="360" t="s">
        <v>228</v>
      </c>
      <c r="N32" s="341"/>
      <c r="O32" s="341"/>
    </row>
    <row r="33" spans="1:15" x14ac:dyDescent="0.6">
      <c r="A33" s="363" t="s">
        <v>229</v>
      </c>
      <c r="B33" s="341"/>
      <c r="C33" s="341"/>
      <c r="D33" s="358">
        <v>63.903100000000002</v>
      </c>
      <c r="E33" s="341"/>
      <c r="F33" s="341"/>
      <c r="G33" s="362">
        <v>0.54650000000000198</v>
      </c>
      <c r="H33" s="341"/>
      <c r="I33" s="341"/>
      <c r="J33" s="361">
        <v>0.85520107788198296</v>
      </c>
      <c r="K33" s="341"/>
      <c r="L33" s="341"/>
      <c r="M33" s="355" t="s">
        <v>376</v>
      </c>
      <c r="N33" s="341"/>
      <c r="O33" s="341"/>
    </row>
  </sheetData>
  <mergeCells count="40">
    <mergeCell ref="J32:L32"/>
    <mergeCell ref="D32:F32"/>
    <mergeCell ref="M31:O31"/>
    <mergeCell ref="F6:G6"/>
    <mergeCell ref="B18:C18"/>
    <mergeCell ref="G30:I30"/>
    <mergeCell ref="M30:O30"/>
    <mergeCell ref="A32:C32"/>
    <mergeCell ref="M33:O33"/>
    <mergeCell ref="F18:G18"/>
    <mergeCell ref="J31:L31"/>
    <mergeCell ref="A17:I17"/>
    <mergeCell ref="A29:C29"/>
    <mergeCell ref="G29:I29"/>
    <mergeCell ref="D30:F30"/>
    <mergeCell ref="D33:F33"/>
    <mergeCell ref="M29:O29"/>
    <mergeCell ref="G32:I32"/>
    <mergeCell ref="D29:F29"/>
    <mergeCell ref="M32:O32"/>
    <mergeCell ref="J33:L33"/>
    <mergeCell ref="G33:I33"/>
    <mergeCell ref="A33:C33"/>
    <mergeCell ref="A28:S28"/>
    <mergeCell ref="A2:S2"/>
    <mergeCell ref="A31:C31"/>
    <mergeCell ref="G31:I31"/>
    <mergeCell ref="A1:S1"/>
    <mergeCell ref="A30:C30"/>
    <mergeCell ref="D18:E18"/>
    <mergeCell ref="J29:L29"/>
    <mergeCell ref="B6:C6"/>
    <mergeCell ref="D31:F31"/>
    <mergeCell ref="H18:I18"/>
    <mergeCell ref="A26:S26"/>
    <mergeCell ref="J30:L30"/>
    <mergeCell ref="A5:I5"/>
    <mergeCell ref="A15:S15"/>
    <mergeCell ref="D6:E6"/>
    <mergeCell ref="H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activeCell="A2" sqref="A2"/>
    </sheetView>
  </sheetViews>
  <sheetFormatPr defaultColWidth="8.7890625" defaultRowHeight="13.8" x14ac:dyDescent="0.45"/>
  <cols>
    <col min="1" max="1" width="7.7890625" style="69" bestFit="1" customWidth="1"/>
    <col min="2" max="2" width="23.5234375" style="69" bestFit="1" customWidth="1"/>
    <col min="3" max="4" width="15.62890625" style="69" bestFit="1" customWidth="1"/>
    <col min="5" max="5" width="28.47265625" style="69" bestFit="1" customWidth="1"/>
    <col min="6" max="6" width="11.7890625" style="69" bestFit="1" customWidth="1"/>
    <col min="7" max="7" width="15.7890625" style="69" bestFit="1" customWidth="1"/>
    <col min="8" max="8" width="8.7890625" style="69" customWidth="1"/>
    <col min="9" max="16384" width="8.7890625" style="69"/>
  </cols>
  <sheetData>
    <row r="1" spans="1:7" ht="14.1" x14ac:dyDescent="0.5">
      <c r="A1" s="368" t="s">
        <v>390</v>
      </c>
      <c r="B1" s="368"/>
      <c r="C1" s="368"/>
      <c r="D1" s="368"/>
      <c r="E1" s="368"/>
      <c r="F1" s="368"/>
      <c r="G1" s="368"/>
    </row>
    <row r="2" spans="1:7" ht="15" customHeight="1" x14ac:dyDescent="0.45">
      <c r="A2" s="68" t="s">
        <v>219</v>
      </c>
      <c r="B2" s="68" t="s">
        <v>230</v>
      </c>
      <c r="C2" s="68" t="s">
        <v>231</v>
      </c>
      <c r="D2" s="68" t="s">
        <v>232</v>
      </c>
      <c r="E2" s="68" t="s">
        <v>233</v>
      </c>
      <c r="F2" s="68" t="s">
        <v>234</v>
      </c>
      <c r="G2" s="68" t="s">
        <v>235</v>
      </c>
    </row>
    <row r="3" spans="1:7" ht="15" customHeight="1" x14ac:dyDescent="0.45">
      <c r="A3" s="70" t="s">
        <v>180</v>
      </c>
      <c r="B3" s="70" t="s">
        <v>236</v>
      </c>
      <c r="C3" s="70">
        <v>2.9E-5</v>
      </c>
      <c r="D3" s="70" t="s">
        <v>237</v>
      </c>
      <c r="E3" s="70" t="s">
        <v>238</v>
      </c>
      <c r="F3" s="71">
        <v>33612</v>
      </c>
      <c r="G3" s="70" t="s">
        <v>239</v>
      </c>
    </row>
    <row r="4" spans="1:7" ht="15" customHeight="1" x14ac:dyDescent="0.45">
      <c r="A4" s="68" t="s">
        <v>185</v>
      </c>
      <c r="B4" s="68" t="s">
        <v>236</v>
      </c>
      <c r="C4" s="68">
        <v>2.9E-5</v>
      </c>
      <c r="D4" s="70" t="s">
        <v>237</v>
      </c>
      <c r="E4" s="68" t="s">
        <v>238</v>
      </c>
      <c r="F4" s="72">
        <v>31932</v>
      </c>
      <c r="G4" s="68" t="s">
        <v>240</v>
      </c>
    </row>
    <row r="5" spans="1:7" ht="15" customHeight="1" x14ac:dyDescent="0.45">
      <c r="A5" s="70" t="s">
        <v>189</v>
      </c>
      <c r="B5" s="70" t="s">
        <v>241</v>
      </c>
      <c r="C5" s="70">
        <v>2.9E-5</v>
      </c>
      <c r="D5" s="70">
        <v>1.9999999999999999E-6</v>
      </c>
      <c r="E5" s="70" t="s">
        <v>242</v>
      </c>
      <c r="F5" s="71">
        <v>33567</v>
      </c>
      <c r="G5" s="70" t="s">
        <v>239</v>
      </c>
    </row>
    <row r="6" spans="1:7" ht="15" customHeight="1" x14ac:dyDescent="0.45">
      <c r="A6" s="70" t="s">
        <v>192</v>
      </c>
      <c r="B6" s="70" t="s">
        <v>241</v>
      </c>
      <c r="C6" s="70">
        <v>2.9E-5</v>
      </c>
      <c r="D6" s="70">
        <v>1.9999999999999999E-6</v>
      </c>
      <c r="E6" s="70" t="s">
        <v>242</v>
      </c>
      <c r="F6" s="71">
        <v>31916</v>
      </c>
      <c r="G6" s="70" t="s">
        <v>243</v>
      </c>
    </row>
    <row r="8" spans="1:7" ht="15" customHeight="1" x14ac:dyDescent="0.45">
      <c r="A8" s="366" t="s">
        <v>244</v>
      </c>
      <c r="B8" s="367"/>
      <c r="C8" s="367"/>
      <c r="D8" s="367"/>
      <c r="E8" s="367"/>
      <c r="F8" s="367"/>
      <c r="G8" s="367"/>
    </row>
  </sheetData>
  <mergeCells count="2">
    <mergeCell ref="A8:G8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workbookViewId="0">
      <selection activeCell="A2" sqref="A1:XFD1048576"/>
    </sheetView>
  </sheetViews>
  <sheetFormatPr defaultColWidth="22.62890625" defaultRowHeight="15.6" x14ac:dyDescent="0.6"/>
  <cols>
    <col min="1" max="1" width="7.47265625" style="3" customWidth="1"/>
    <col min="2" max="2" width="12.47265625" style="3" bestFit="1" customWidth="1"/>
    <col min="3" max="3" width="9.89453125" style="3" bestFit="1" customWidth="1"/>
    <col min="4" max="4" width="9.26171875" style="3" bestFit="1" customWidth="1"/>
    <col min="5" max="5" width="8.1015625" style="3" bestFit="1" customWidth="1"/>
    <col min="6" max="6" width="17.47265625" style="3" bestFit="1" customWidth="1"/>
    <col min="7" max="7" width="14.5234375" style="3" bestFit="1" customWidth="1"/>
    <col min="8" max="8" width="9.26171875" style="3" bestFit="1" customWidth="1"/>
    <col min="9" max="9" width="7.5234375" style="3" bestFit="1" customWidth="1"/>
    <col min="10" max="10" width="17.5234375" style="3" bestFit="1" customWidth="1"/>
    <col min="11" max="11" width="14.62890625" style="3" bestFit="1" customWidth="1"/>
    <col min="12" max="12" width="8.3671875" style="3" bestFit="1" customWidth="1"/>
    <col min="13" max="14" width="10.7890625" style="3" bestFit="1" customWidth="1"/>
    <col min="15" max="15" width="12.7890625" style="3" bestFit="1" customWidth="1"/>
    <col min="16" max="16" width="8.15625" style="3" bestFit="1" customWidth="1"/>
    <col min="17" max="17" width="14.5234375" style="3" bestFit="1" customWidth="1"/>
    <col min="18" max="18" width="6.5234375" style="3" bestFit="1" customWidth="1"/>
    <col min="19" max="19" width="12.89453125" style="3" bestFit="1" customWidth="1"/>
    <col min="20" max="20" width="22.62890625" style="3" customWidth="1"/>
    <col min="21" max="16384" width="22.62890625" style="3"/>
  </cols>
  <sheetData>
    <row r="1" spans="1:19" ht="15.9" customHeight="1" thickBot="1" x14ac:dyDescent="0.65">
      <c r="A1" s="371" t="s">
        <v>391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</row>
    <row r="2" spans="1:19" ht="30.25" customHeight="1" thickBot="1" x14ac:dyDescent="0.65">
      <c r="A2" s="370" t="s">
        <v>219</v>
      </c>
      <c r="B2" s="326"/>
      <c r="C2" s="160"/>
      <c r="D2" s="372" t="s">
        <v>245</v>
      </c>
      <c r="E2" s="326"/>
      <c r="F2" s="326"/>
      <c r="G2" s="326"/>
      <c r="H2" s="326"/>
      <c r="I2" s="326"/>
      <c r="J2" s="326"/>
      <c r="K2" s="326"/>
      <c r="L2" s="373"/>
      <c r="M2" s="373"/>
      <c r="N2" s="373"/>
      <c r="O2" s="161" t="s">
        <v>246</v>
      </c>
      <c r="P2" s="162"/>
      <c r="Q2" s="370"/>
      <c r="R2" s="326"/>
      <c r="S2" s="163" t="s">
        <v>247</v>
      </c>
    </row>
    <row r="3" spans="1:19" ht="30.25" customHeight="1" thickBot="1" x14ac:dyDescent="0.65">
      <c r="A3" s="160" t="s">
        <v>163</v>
      </c>
      <c r="B3" s="160" t="s">
        <v>248</v>
      </c>
      <c r="C3" s="160" t="s">
        <v>249</v>
      </c>
      <c r="D3" s="164" t="s">
        <v>250</v>
      </c>
      <c r="E3" s="164" t="s">
        <v>251</v>
      </c>
      <c r="F3" s="164" t="s">
        <v>252</v>
      </c>
      <c r="G3" s="164" t="s">
        <v>253</v>
      </c>
      <c r="H3" s="164" t="s">
        <v>254</v>
      </c>
      <c r="I3" s="164" t="s">
        <v>9</v>
      </c>
      <c r="J3" s="164" t="s">
        <v>255</v>
      </c>
      <c r="K3" s="164" t="s">
        <v>256</v>
      </c>
      <c r="L3" s="165" t="s">
        <v>257</v>
      </c>
      <c r="M3" s="165" t="s">
        <v>258</v>
      </c>
      <c r="N3" s="165" t="s">
        <v>259</v>
      </c>
      <c r="O3" s="166" t="s">
        <v>260</v>
      </c>
      <c r="P3" s="166" t="s">
        <v>261</v>
      </c>
      <c r="Q3" s="160" t="s">
        <v>262</v>
      </c>
      <c r="R3" s="160" t="s">
        <v>263</v>
      </c>
      <c r="S3" s="163" t="s">
        <v>170</v>
      </c>
    </row>
    <row r="4" spans="1:19" x14ac:dyDescent="0.6">
      <c r="A4" s="167" t="s">
        <v>171</v>
      </c>
      <c r="B4" s="168" t="s">
        <v>136</v>
      </c>
      <c r="C4" s="169">
        <v>3</v>
      </c>
      <c r="D4" s="170">
        <v>67247.600000000006</v>
      </c>
      <c r="E4" s="171">
        <v>3385.6</v>
      </c>
      <c r="F4" s="172">
        <f t="shared" ref="F4:F9" si="0">EXP(-0.5*E4)</f>
        <v>0</v>
      </c>
      <c r="G4" s="173">
        <f t="shared" ref="G4:G9" si="1">F4/SUM($F$4:$F$9)*100</f>
        <v>0</v>
      </c>
      <c r="H4" s="170">
        <v>67271</v>
      </c>
      <c r="I4" s="174">
        <v>3312.5</v>
      </c>
      <c r="J4" s="172">
        <f t="shared" ref="J4:J9" si="2">EXP(-0.5*I4)</f>
        <v>0</v>
      </c>
      <c r="K4" s="173">
        <f t="shared" ref="K4:K9" si="3">J4/SUM($J$4:$J$9)*100</f>
        <v>0</v>
      </c>
      <c r="L4" s="171">
        <v>3272.4</v>
      </c>
      <c r="M4" s="171">
        <v>938.2</v>
      </c>
      <c r="N4" s="175">
        <v>0.71399999999999997</v>
      </c>
      <c r="O4" s="169" t="s">
        <v>264</v>
      </c>
      <c r="P4" s="175">
        <v>0.66900000000000004</v>
      </c>
      <c r="Q4" s="169" t="s">
        <v>203</v>
      </c>
      <c r="R4" s="169" t="s">
        <v>203</v>
      </c>
      <c r="S4" s="176" t="s">
        <v>265</v>
      </c>
    </row>
    <row r="5" spans="1:19" x14ac:dyDescent="0.6">
      <c r="A5" s="177" t="s">
        <v>176</v>
      </c>
      <c r="B5" s="178" t="s">
        <v>177</v>
      </c>
      <c r="C5" s="179">
        <v>5</v>
      </c>
      <c r="D5" s="180">
        <v>63919.5</v>
      </c>
      <c r="E5" s="180">
        <v>57.5</v>
      </c>
      <c r="F5" s="172">
        <f t="shared" si="0"/>
        <v>3.2661313427874473E-13</v>
      </c>
      <c r="G5" s="173">
        <f t="shared" si="1"/>
        <v>3.2658743525533458E-11</v>
      </c>
      <c r="H5" s="180">
        <v>63958.5</v>
      </c>
      <c r="I5" s="181">
        <v>0</v>
      </c>
      <c r="J5" s="172">
        <f t="shared" si="2"/>
        <v>1</v>
      </c>
      <c r="K5" s="173">
        <f t="shared" si="3"/>
        <v>54.982330833168234</v>
      </c>
      <c r="L5" s="182">
        <v>136.19999999999999</v>
      </c>
      <c r="M5" s="183">
        <v>28.2</v>
      </c>
      <c r="N5" s="184">
        <v>0.99299999999999999</v>
      </c>
      <c r="O5" s="179" t="s">
        <v>266</v>
      </c>
      <c r="P5" s="184">
        <v>0.94699999999999995</v>
      </c>
      <c r="Q5" s="179" t="s">
        <v>267</v>
      </c>
      <c r="R5" s="179" t="s">
        <v>203</v>
      </c>
      <c r="S5" s="178" t="s">
        <v>268</v>
      </c>
    </row>
    <row r="6" spans="1:19" x14ac:dyDescent="0.6">
      <c r="A6" s="167" t="s">
        <v>180</v>
      </c>
      <c r="B6" s="168" t="s">
        <v>136</v>
      </c>
      <c r="C6" s="169">
        <v>7</v>
      </c>
      <c r="D6" s="170">
        <v>67238.100000000006</v>
      </c>
      <c r="E6" s="171">
        <v>3376</v>
      </c>
      <c r="F6" s="172">
        <f t="shared" si="0"/>
        <v>0</v>
      </c>
      <c r="G6" s="173">
        <f t="shared" si="1"/>
        <v>0</v>
      </c>
      <c r="H6" s="170">
        <v>67292.600000000006</v>
      </c>
      <c r="I6" s="174">
        <v>3334.2</v>
      </c>
      <c r="J6" s="172">
        <f t="shared" si="2"/>
        <v>0</v>
      </c>
      <c r="K6" s="173">
        <f t="shared" si="3"/>
        <v>0</v>
      </c>
      <c r="L6" s="171">
        <v>3256.4</v>
      </c>
      <c r="M6" s="171">
        <v>937.9</v>
      </c>
      <c r="N6" s="175">
        <v>0.71499999999999997</v>
      </c>
      <c r="O6" s="169" t="s">
        <v>269</v>
      </c>
      <c r="P6" s="175">
        <v>0.66800000000000004</v>
      </c>
      <c r="Q6" s="169" t="s">
        <v>203</v>
      </c>
      <c r="R6" s="169" t="s">
        <v>267</v>
      </c>
      <c r="S6" s="176" t="s">
        <v>265</v>
      </c>
    </row>
    <row r="7" spans="1:19" x14ac:dyDescent="0.6">
      <c r="A7" s="185" t="s">
        <v>185</v>
      </c>
      <c r="B7" s="186" t="s">
        <v>177</v>
      </c>
      <c r="C7" s="187">
        <v>10</v>
      </c>
      <c r="D7" s="188">
        <v>63880.9</v>
      </c>
      <c r="E7" s="188">
        <v>18.899999999999999</v>
      </c>
      <c r="F7" s="172">
        <f t="shared" si="0"/>
        <v>7.8689565271794696E-5</v>
      </c>
      <c r="G7" s="173">
        <f t="shared" si="1"/>
        <v>7.8683373711297532E-3</v>
      </c>
      <c r="H7" s="188">
        <v>63958.9</v>
      </c>
      <c r="I7" s="189">
        <v>0.4</v>
      </c>
      <c r="J7" s="172">
        <f t="shared" si="2"/>
        <v>0.81873075307798182</v>
      </c>
      <c r="K7" s="173">
        <f t="shared" si="3"/>
        <v>45.01572512902257</v>
      </c>
      <c r="L7" s="190">
        <v>90.4</v>
      </c>
      <c r="M7" s="191">
        <v>22.9</v>
      </c>
      <c r="N7" s="192">
        <v>0.995</v>
      </c>
      <c r="O7" s="187" t="s">
        <v>270</v>
      </c>
      <c r="P7" s="192">
        <v>0.94899999999999995</v>
      </c>
      <c r="Q7" s="187" t="s">
        <v>271</v>
      </c>
      <c r="R7" s="187" t="s">
        <v>272</v>
      </c>
      <c r="S7" s="193" t="s">
        <v>273</v>
      </c>
    </row>
    <row r="8" spans="1:19" x14ac:dyDescent="0.6">
      <c r="A8" s="167" t="s">
        <v>189</v>
      </c>
      <c r="B8" s="168" t="s">
        <v>136</v>
      </c>
      <c r="C8" s="169">
        <v>11</v>
      </c>
      <c r="D8" s="170">
        <v>67155.8</v>
      </c>
      <c r="E8" s="171">
        <v>3293.8</v>
      </c>
      <c r="F8" s="172">
        <f t="shared" si="0"/>
        <v>0</v>
      </c>
      <c r="G8" s="173">
        <f t="shared" si="1"/>
        <v>0</v>
      </c>
      <c r="H8" s="170">
        <v>67241.600000000006</v>
      </c>
      <c r="I8" s="174">
        <v>3283.1</v>
      </c>
      <c r="J8" s="172">
        <f t="shared" si="2"/>
        <v>0</v>
      </c>
      <c r="K8" s="173">
        <f t="shared" si="3"/>
        <v>0</v>
      </c>
      <c r="L8" s="171">
        <v>3170.5</v>
      </c>
      <c r="M8" s="194">
        <v>185.7</v>
      </c>
      <c r="N8" s="175">
        <v>0.72199999999999998</v>
      </c>
      <c r="O8" s="169" t="s">
        <v>274</v>
      </c>
      <c r="P8" s="175">
        <v>0.67800000000000005</v>
      </c>
      <c r="Q8" s="169" t="s">
        <v>203</v>
      </c>
      <c r="R8" s="169" t="s">
        <v>275</v>
      </c>
      <c r="S8" s="176" t="s">
        <v>265</v>
      </c>
    </row>
    <row r="9" spans="1:19" x14ac:dyDescent="0.6">
      <c r="A9" s="195" t="s">
        <v>192</v>
      </c>
      <c r="B9" s="196" t="s">
        <v>177</v>
      </c>
      <c r="C9" s="197">
        <v>15</v>
      </c>
      <c r="D9" s="198">
        <v>63862</v>
      </c>
      <c r="E9" s="198">
        <v>0</v>
      </c>
      <c r="F9" s="172">
        <f t="shared" si="0"/>
        <v>1</v>
      </c>
      <c r="G9" s="173">
        <f t="shared" si="1"/>
        <v>99.992131662596208</v>
      </c>
      <c r="H9" s="198">
        <v>63979</v>
      </c>
      <c r="I9" s="199">
        <v>20.5</v>
      </c>
      <c r="J9" s="172">
        <f t="shared" si="2"/>
        <v>3.5357500850409981E-5</v>
      </c>
      <c r="K9" s="173">
        <f t="shared" si="3"/>
        <v>1.9440378091912687E-3</v>
      </c>
      <c r="L9" s="200">
        <v>61.8</v>
      </c>
      <c r="M9" s="201">
        <v>18.3</v>
      </c>
      <c r="N9" s="202">
        <v>0.996</v>
      </c>
      <c r="O9" s="197" t="s">
        <v>276</v>
      </c>
      <c r="P9" s="202">
        <v>0.95099999999999996</v>
      </c>
      <c r="Q9" s="197" t="s">
        <v>277</v>
      </c>
      <c r="R9" s="197" t="s">
        <v>272</v>
      </c>
      <c r="S9" s="203" t="s">
        <v>278</v>
      </c>
    </row>
    <row r="10" spans="1:19" ht="106" customHeight="1" x14ac:dyDescent="0.6">
      <c r="A10" s="369" t="s">
        <v>279</v>
      </c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</row>
    <row r="11" spans="1:19" x14ac:dyDescent="0.6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</row>
  </sheetData>
  <mergeCells count="6">
    <mergeCell ref="A10:S10"/>
    <mergeCell ref="A2:B2"/>
    <mergeCell ref="Q2:R2"/>
    <mergeCell ref="A1:S1"/>
    <mergeCell ref="D2:K2"/>
    <mergeCell ref="L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workbookViewId="0">
      <selection activeCell="A2" sqref="A2"/>
    </sheetView>
  </sheetViews>
  <sheetFormatPr defaultColWidth="62.89453125" defaultRowHeight="14.4" x14ac:dyDescent="0.55000000000000004"/>
  <cols>
    <col min="1" max="1" width="13.62890625" bestFit="1" customWidth="1"/>
    <col min="2" max="3" width="10.26171875" bestFit="1" customWidth="1"/>
    <col min="4" max="4" width="13.89453125" bestFit="1" customWidth="1"/>
    <col min="5" max="5" width="15.7890625" bestFit="1" customWidth="1"/>
    <col min="6" max="6" width="3.89453125" bestFit="1" customWidth="1"/>
    <col min="7" max="7" width="8.1015625" bestFit="1" customWidth="1"/>
    <col min="8" max="8" width="21.7890625" bestFit="1" customWidth="1"/>
    <col min="9" max="9" width="9.15625" bestFit="1" customWidth="1"/>
    <col min="10" max="10" width="8.15625" bestFit="1" customWidth="1"/>
    <col min="11" max="11" width="90.15625" bestFit="1" customWidth="1"/>
  </cols>
  <sheetData>
    <row r="1" spans="1:11" ht="15.25" customHeight="1" thickBot="1" x14ac:dyDescent="0.6">
      <c r="A1" s="374" t="s">
        <v>392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15.25" customHeight="1" thickBot="1" x14ac:dyDescent="0.6">
      <c r="A2" s="204" t="s">
        <v>0</v>
      </c>
      <c r="B2" s="204" t="s">
        <v>1</v>
      </c>
      <c r="C2" s="204" t="s">
        <v>2</v>
      </c>
      <c r="D2" s="205" t="s">
        <v>3</v>
      </c>
      <c r="E2" s="205" t="s">
        <v>4</v>
      </c>
      <c r="F2" s="204" t="s">
        <v>5</v>
      </c>
      <c r="G2" s="204" t="s">
        <v>6</v>
      </c>
      <c r="H2" s="205" t="s">
        <v>7</v>
      </c>
      <c r="I2" s="204" t="s">
        <v>8</v>
      </c>
      <c r="J2" s="204" t="s">
        <v>9</v>
      </c>
      <c r="K2" s="204" t="s">
        <v>10</v>
      </c>
    </row>
    <row r="3" spans="1:11" ht="15" customHeight="1" x14ac:dyDescent="0.55000000000000004">
      <c r="A3" s="206" t="s">
        <v>11</v>
      </c>
      <c r="B3" s="207" t="s">
        <v>12</v>
      </c>
      <c r="C3" s="207" t="s">
        <v>13</v>
      </c>
      <c r="D3" s="208">
        <v>33620.800000000003</v>
      </c>
      <c r="E3" s="208">
        <v>31954.7</v>
      </c>
      <c r="F3" s="209">
        <v>2</v>
      </c>
      <c r="G3" s="208">
        <v>3332.1</v>
      </c>
      <c r="H3" s="210">
        <f t="shared" ref="H3:H8" si="0">(D3-E3)/F3</f>
        <v>833.05000000000109</v>
      </c>
      <c r="I3" s="211" t="s">
        <v>14</v>
      </c>
      <c r="J3" s="212" t="s">
        <v>15</v>
      </c>
      <c r="K3" s="207" t="s">
        <v>16</v>
      </c>
    </row>
    <row r="4" spans="1:11" ht="15" customHeight="1" x14ac:dyDescent="0.55000000000000004">
      <c r="A4" s="206" t="s">
        <v>17</v>
      </c>
      <c r="B4" s="207" t="s">
        <v>18</v>
      </c>
      <c r="C4" s="207" t="s">
        <v>19</v>
      </c>
      <c r="D4" s="208">
        <v>33612</v>
      </c>
      <c r="E4" s="208">
        <v>31930.5</v>
      </c>
      <c r="F4" s="209">
        <v>3</v>
      </c>
      <c r="G4" s="208">
        <v>3363.1</v>
      </c>
      <c r="H4" s="210">
        <f t="shared" si="0"/>
        <v>560.5</v>
      </c>
      <c r="I4" s="211" t="s">
        <v>14</v>
      </c>
      <c r="J4" s="212" t="s">
        <v>20</v>
      </c>
      <c r="K4" s="207" t="s">
        <v>21</v>
      </c>
    </row>
    <row r="5" spans="1:11" ht="15" customHeight="1" x14ac:dyDescent="0.55000000000000004">
      <c r="A5" s="206" t="s">
        <v>22</v>
      </c>
      <c r="B5" s="207" t="s">
        <v>23</v>
      </c>
      <c r="C5" s="207" t="s">
        <v>24</v>
      </c>
      <c r="D5" s="208">
        <v>33566.9</v>
      </c>
      <c r="E5" s="208">
        <v>31916</v>
      </c>
      <c r="F5" s="209">
        <v>4</v>
      </c>
      <c r="G5" s="208">
        <v>3301.8</v>
      </c>
      <c r="H5" s="210">
        <f t="shared" si="0"/>
        <v>412.72500000000036</v>
      </c>
      <c r="I5" s="211" t="s">
        <v>14</v>
      </c>
      <c r="J5" s="212" t="s">
        <v>25</v>
      </c>
      <c r="K5" s="207" t="s">
        <v>26</v>
      </c>
    </row>
    <row r="6" spans="1:11" ht="15" customHeight="1" x14ac:dyDescent="0.55000000000000004">
      <c r="A6" s="185" t="s">
        <v>27</v>
      </c>
      <c r="B6" s="213" t="s">
        <v>13</v>
      </c>
      <c r="C6" s="213" t="s">
        <v>19</v>
      </c>
      <c r="D6" s="188">
        <v>31954.7</v>
      </c>
      <c r="E6" s="188">
        <v>31930.5</v>
      </c>
      <c r="F6" s="187">
        <v>5</v>
      </c>
      <c r="G6" s="188">
        <v>48.6</v>
      </c>
      <c r="H6" s="214">
        <f t="shared" si="0"/>
        <v>4.8400000000001455</v>
      </c>
      <c r="I6" s="215" t="s">
        <v>14</v>
      </c>
      <c r="J6" s="216" t="s">
        <v>28</v>
      </c>
      <c r="K6" s="213" t="s">
        <v>377</v>
      </c>
    </row>
    <row r="7" spans="1:11" ht="15" customHeight="1" x14ac:dyDescent="0.55000000000000004">
      <c r="A7" s="217" t="s">
        <v>29</v>
      </c>
      <c r="B7" s="218" t="s">
        <v>19</v>
      </c>
      <c r="C7" s="218" t="s">
        <v>24</v>
      </c>
      <c r="D7" s="219">
        <v>31930.5</v>
      </c>
      <c r="E7" s="219">
        <v>31916</v>
      </c>
      <c r="F7" s="220">
        <v>5</v>
      </c>
      <c r="G7" s="219">
        <v>28.9</v>
      </c>
      <c r="H7" s="221">
        <f t="shared" si="0"/>
        <v>2.9</v>
      </c>
      <c r="I7" s="222" t="s">
        <v>30</v>
      </c>
      <c r="J7" s="223" t="s">
        <v>31</v>
      </c>
      <c r="K7" s="218" t="s">
        <v>378</v>
      </c>
    </row>
    <row r="8" spans="1:11" ht="15" customHeight="1" x14ac:dyDescent="0.55000000000000004">
      <c r="A8" s="217" t="s">
        <v>32</v>
      </c>
      <c r="B8" s="218" t="s">
        <v>13</v>
      </c>
      <c r="C8" s="218" t="s">
        <v>24</v>
      </c>
      <c r="D8" s="219">
        <v>31954.7</v>
      </c>
      <c r="E8" s="219">
        <v>31916</v>
      </c>
      <c r="F8" s="220">
        <v>10</v>
      </c>
      <c r="G8" s="219">
        <v>77.5</v>
      </c>
      <c r="H8" s="221">
        <f t="shared" si="0"/>
        <v>3.8700000000000729</v>
      </c>
      <c r="I8" s="222" t="s">
        <v>14</v>
      </c>
      <c r="J8" s="223" t="s">
        <v>33</v>
      </c>
      <c r="K8" s="218" t="s">
        <v>379</v>
      </c>
    </row>
    <row r="9" spans="1:11" ht="15" customHeight="1" x14ac:dyDescent="0.55000000000000004">
      <c r="A9" s="369" t="s">
        <v>34</v>
      </c>
      <c r="B9" s="341"/>
      <c r="C9" s="341"/>
      <c r="D9" s="341"/>
      <c r="E9" s="341"/>
      <c r="F9" s="341"/>
      <c r="G9" s="341"/>
      <c r="H9" s="341"/>
      <c r="I9" s="341"/>
      <c r="J9" s="341"/>
      <c r="K9" s="341"/>
    </row>
  </sheetData>
  <mergeCells count="2">
    <mergeCell ref="A1:K1"/>
    <mergeCell ref="A9:K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4"/>
  <sheetViews>
    <sheetView workbookViewId="0">
      <selection activeCell="A2" sqref="A2:D2"/>
    </sheetView>
  </sheetViews>
  <sheetFormatPr defaultColWidth="44.7890625" defaultRowHeight="15.6" x14ac:dyDescent="0.6"/>
  <cols>
    <col min="1" max="1" width="19.15625" style="3" bestFit="1" customWidth="1"/>
    <col min="2" max="4" width="10.7890625" style="3" bestFit="1" customWidth="1"/>
    <col min="5" max="7" width="10.734375" style="3" bestFit="1" customWidth="1"/>
    <col min="8" max="8" width="8.15625" style="3" bestFit="1" customWidth="1"/>
    <col min="9" max="9" width="8.47265625" style="3" bestFit="1" customWidth="1"/>
    <col min="10" max="12" width="10.734375" style="3" bestFit="1" customWidth="1"/>
    <col min="13" max="13" width="8.15625" style="3" bestFit="1" customWidth="1"/>
    <col min="14" max="14" width="8.47265625" style="3" bestFit="1" customWidth="1"/>
    <col min="15" max="17" width="10.734375" style="3" bestFit="1" customWidth="1"/>
    <col min="18" max="18" width="8.15625" style="3" bestFit="1" customWidth="1"/>
    <col min="19" max="19" width="8.47265625" style="3" bestFit="1" customWidth="1"/>
    <col min="20" max="22" width="10.734375" style="3" bestFit="1" customWidth="1"/>
    <col min="23" max="23" width="8.15625" style="3" bestFit="1" customWidth="1"/>
    <col min="24" max="24" width="8.47265625" style="3" bestFit="1" customWidth="1"/>
    <col min="25" max="27" width="10.734375" style="3" bestFit="1" customWidth="1"/>
    <col min="28" max="28" width="8.15625" style="3" bestFit="1" customWidth="1"/>
    <col min="29" max="29" width="8.47265625" style="3" bestFit="1" customWidth="1"/>
    <col min="30" max="32" width="10.734375" style="3" bestFit="1" customWidth="1"/>
    <col min="33" max="33" width="8.15625" style="3" bestFit="1" customWidth="1"/>
    <col min="34" max="34" width="8.47265625" style="3" bestFit="1" customWidth="1"/>
    <col min="35" max="35" width="44.7890625" style="3" customWidth="1"/>
    <col min="36" max="16384" width="44.7890625" style="3"/>
  </cols>
  <sheetData>
    <row r="1" spans="1:34" ht="15.9" customHeight="1" thickBot="1" x14ac:dyDescent="0.65">
      <c r="A1" s="377" t="s">
        <v>393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</row>
    <row r="2" spans="1:34" ht="50.8" customHeight="1" thickBot="1" x14ac:dyDescent="0.65">
      <c r="A2" s="378" t="s">
        <v>280</v>
      </c>
      <c r="B2" s="326"/>
      <c r="C2" s="326"/>
      <c r="D2" s="326"/>
      <c r="E2" s="383" t="s">
        <v>281</v>
      </c>
      <c r="F2" s="326"/>
      <c r="G2" s="326"/>
      <c r="H2" s="326"/>
      <c r="I2" s="326"/>
      <c r="J2" s="384" t="s">
        <v>282</v>
      </c>
      <c r="K2" s="326"/>
      <c r="L2" s="326"/>
      <c r="M2" s="326"/>
      <c r="N2" s="326"/>
      <c r="O2" s="381" t="s">
        <v>283</v>
      </c>
      <c r="P2" s="326"/>
      <c r="Q2" s="326"/>
      <c r="R2" s="326"/>
      <c r="S2" s="326"/>
      <c r="T2" s="382" t="s">
        <v>284</v>
      </c>
      <c r="U2" s="326"/>
      <c r="V2" s="326"/>
      <c r="W2" s="326"/>
      <c r="X2" s="326"/>
      <c r="Y2" s="385" t="s">
        <v>285</v>
      </c>
      <c r="Z2" s="326"/>
      <c r="AA2" s="326"/>
      <c r="AB2" s="326"/>
      <c r="AC2" s="326"/>
      <c r="AD2" s="375" t="s">
        <v>286</v>
      </c>
      <c r="AE2" s="326"/>
      <c r="AF2" s="326"/>
      <c r="AG2" s="326"/>
      <c r="AH2" s="326"/>
    </row>
    <row r="3" spans="1:34" ht="30.25" customHeight="1" thickBot="1" x14ac:dyDescent="0.65">
      <c r="A3" s="15" t="s">
        <v>148</v>
      </c>
      <c r="B3" s="15" t="s">
        <v>287</v>
      </c>
      <c r="C3" s="15" t="s">
        <v>288</v>
      </c>
      <c r="D3" s="15" t="s">
        <v>289</v>
      </c>
      <c r="E3" s="16" t="s">
        <v>290</v>
      </c>
      <c r="F3" s="16" t="s">
        <v>291</v>
      </c>
      <c r="G3" s="16" t="s">
        <v>292</v>
      </c>
      <c r="H3" s="16" t="s">
        <v>293</v>
      </c>
      <c r="I3" s="16" t="s">
        <v>294</v>
      </c>
      <c r="J3" s="17" t="s">
        <v>290</v>
      </c>
      <c r="K3" s="17" t="s">
        <v>291</v>
      </c>
      <c r="L3" s="17" t="s">
        <v>292</v>
      </c>
      <c r="M3" s="17" t="s">
        <v>293</v>
      </c>
      <c r="N3" s="17" t="s">
        <v>294</v>
      </c>
      <c r="O3" s="18" t="s">
        <v>290</v>
      </c>
      <c r="P3" s="18" t="s">
        <v>291</v>
      </c>
      <c r="Q3" s="18" t="s">
        <v>292</v>
      </c>
      <c r="R3" s="18" t="s">
        <v>293</v>
      </c>
      <c r="S3" s="18" t="s">
        <v>294</v>
      </c>
      <c r="T3" s="19" t="s">
        <v>290</v>
      </c>
      <c r="U3" s="19" t="s">
        <v>291</v>
      </c>
      <c r="V3" s="19" t="s">
        <v>292</v>
      </c>
      <c r="W3" s="19" t="s">
        <v>293</v>
      </c>
      <c r="X3" s="19" t="s">
        <v>294</v>
      </c>
      <c r="Y3" s="20" t="s">
        <v>290</v>
      </c>
      <c r="Z3" s="20" t="s">
        <v>291</v>
      </c>
      <c r="AA3" s="20" t="s">
        <v>292</v>
      </c>
      <c r="AB3" s="20" t="s">
        <v>293</v>
      </c>
      <c r="AC3" s="20" t="s">
        <v>294</v>
      </c>
      <c r="AD3" s="21" t="s">
        <v>290</v>
      </c>
      <c r="AE3" s="21" t="s">
        <v>291</v>
      </c>
      <c r="AF3" s="21" t="s">
        <v>292</v>
      </c>
      <c r="AG3" s="21" t="s">
        <v>293</v>
      </c>
      <c r="AH3" s="21" t="s">
        <v>294</v>
      </c>
    </row>
    <row r="4" spans="1:34" x14ac:dyDescent="0.6">
      <c r="A4" s="22" t="s">
        <v>47</v>
      </c>
      <c r="B4" s="23">
        <v>1169</v>
      </c>
      <c r="C4" s="24">
        <v>6.4919198089631799E-2</v>
      </c>
      <c r="D4" s="24">
        <v>1.50877737085649E-2</v>
      </c>
      <c r="E4" s="25">
        <v>3.8549E-2</v>
      </c>
      <c r="F4" s="26">
        <v>2.5535714285714298E-3</v>
      </c>
      <c r="G4" s="27">
        <v>694</v>
      </c>
      <c r="H4" s="26">
        <v>3.3162999999999998E-2</v>
      </c>
      <c r="I4" s="26">
        <v>4.3173000000000003E-2</v>
      </c>
      <c r="J4" s="28">
        <v>5.5613999999999997E-2</v>
      </c>
      <c r="K4" s="29">
        <v>5.5846938775510196E-3</v>
      </c>
      <c r="L4" s="30">
        <v>1001</v>
      </c>
      <c r="M4" s="29">
        <v>4.5109999999999997E-2</v>
      </c>
      <c r="N4" s="29">
        <v>6.7002000000000006E-2</v>
      </c>
      <c r="O4" s="25">
        <v>3.7633E-2</v>
      </c>
      <c r="P4" s="31">
        <v>2.5982142857142901E-3</v>
      </c>
      <c r="Q4" s="32">
        <v>678</v>
      </c>
      <c r="R4" s="31">
        <v>3.2541E-2</v>
      </c>
      <c r="S4" s="31">
        <v>4.2726E-2</v>
      </c>
      <c r="T4" s="33">
        <v>5.6825000000000001E-2</v>
      </c>
      <c r="U4" s="34">
        <v>5.2030612244898002E-3</v>
      </c>
      <c r="V4" s="35">
        <v>1023</v>
      </c>
      <c r="W4" s="34">
        <v>4.7275999999999999E-2</v>
      </c>
      <c r="X4" s="34">
        <v>6.7671999999999996E-2</v>
      </c>
      <c r="Y4" s="25">
        <v>3.7569999999999999E-2</v>
      </c>
      <c r="Z4" s="36">
        <v>2.62040816326531E-3</v>
      </c>
      <c r="AA4" s="37">
        <v>677</v>
      </c>
      <c r="AB4" s="36">
        <v>3.243E-2</v>
      </c>
      <c r="AC4" s="36">
        <v>4.2701999999999997E-2</v>
      </c>
      <c r="AD4" s="38">
        <v>5.9348999999999999E-2</v>
      </c>
      <c r="AE4" s="39">
        <v>5.0892857142857103E-3</v>
      </c>
      <c r="AF4" s="40">
        <v>1069</v>
      </c>
      <c r="AG4" s="39">
        <v>4.9888000000000002E-2</v>
      </c>
      <c r="AH4" s="39">
        <v>6.9837999999999997E-2</v>
      </c>
    </row>
    <row r="5" spans="1:34" x14ac:dyDescent="0.6">
      <c r="A5" s="41" t="s">
        <v>49</v>
      </c>
      <c r="B5" s="42">
        <v>3616</v>
      </c>
      <c r="C5" s="43">
        <v>0.200810795801633</v>
      </c>
      <c r="D5" s="43">
        <v>1.3460237975228301E-2</v>
      </c>
      <c r="E5" s="25">
        <v>0.129242</v>
      </c>
      <c r="F5" s="44">
        <v>4.4489795918367398E-3</v>
      </c>
      <c r="G5" s="45">
        <v>2327</v>
      </c>
      <c r="H5" s="44">
        <v>0.11847299999999999</v>
      </c>
      <c r="I5" s="44">
        <v>0.13591300000000001</v>
      </c>
      <c r="J5" s="46">
        <v>0.21010000000000001</v>
      </c>
      <c r="K5" s="44">
        <v>5.7530612244897899E-3</v>
      </c>
      <c r="L5" s="45">
        <v>3783</v>
      </c>
      <c r="M5" s="44">
        <v>0.1971</v>
      </c>
      <c r="N5" s="44">
        <v>0.21965199999999999</v>
      </c>
      <c r="O5" s="25">
        <v>0.13021199999999999</v>
      </c>
      <c r="P5" s="44">
        <v>4.5724489795918397E-3</v>
      </c>
      <c r="Q5" s="45">
        <v>2345</v>
      </c>
      <c r="R5" s="44">
        <v>0.11952699999999999</v>
      </c>
      <c r="S5" s="44">
        <v>0.13745099999999999</v>
      </c>
      <c r="T5" s="46">
        <v>0.20794199999999999</v>
      </c>
      <c r="U5" s="44">
        <v>5.5831632653061203E-3</v>
      </c>
      <c r="V5" s="45">
        <v>3744</v>
      </c>
      <c r="W5" s="44">
        <v>0.195133</v>
      </c>
      <c r="X5" s="44">
        <v>0.21701899999999999</v>
      </c>
      <c r="Y5" s="25">
        <v>0.130856</v>
      </c>
      <c r="Z5" s="44">
        <v>4.5206632653061202E-3</v>
      </c>
      <c r="AA5" s="45">
        <v>2356</v>
      </c>
      <c r="AB5" s="44">
        <v>0.120347</v>
      </c>
      <c r="AC5" s="44">
        <v>0.138068</v>
      </c>
      <c r="AD5" s="46">
        <v>0.20541599999999999</v>
      </c>
      <c r="AE5" s="44">
        <v>5.6234693877550996E-3</v>
      </c>
      <c r="AF5" s="45">
        <v>3699</v>
      </c>
      <c r="AG5" s="44">
        <v>0.192555</v>
      </c>
      <c r="AH5" s="44">
        <v>0.21459900000000001</v>
      </c>
    </row>
    <row r="6" spans="1:34" x14ac:dyDescent="0.6">
      <c r="A6" s="22" t="s">
        <v>51</v>
      </c>
      <c r="B6" s="23">
        <v>740</v>
      </c>
      <c r="C6" s="24">
        <v>4.1095129671794302E-2</v>
      </c>
      <c r="D6" s="24">
        <v>9.9236238630713604E-3</v>
      </c>
      <c r="E6" s="25">
        <v>7.7822000000000002E-2</v>
      </c>
      <c r="F6" s="26">
        <v>3.2257653061224501E-3</v>
      </c>
      <c r="G6" s="27">
        <v>1401</v>
      </c>
      <c r="H6" s="26">
        <v>7.0972999999999994E-2</v>
      </c>
      <c r="I6" s="26">
        <v>8.3617999999999998E-2</v>
      </c>
      <c r="J6" s="25">
        <v>5.0398999999999999E-2</v>
      </c>
      <c r="K6" s="29">
        <v>3.64285714285714E-3</v>
      </c>
      <c r="L6" s="30">
        <v>908</v>
      </c>
      <c r="M6" s="29">
        <v>4.2559E-2</v>
      </c>
      <c r="N6" s="29">
        <v>5.6839000000000001E-2</v>
      </c>
      <c r="O6" s="25">
        <v>7.7096999999999999E-2</v>
      </c>
      <c r="P6" s="31">
        <v>3.2012755102040799E-3</v>
      </c>
      <c r="Q6" s="32">
        <v>1388</v>
      </c>
      <c r="R6" s="31">
        <v>7.0326E-2</v>
      </c>
      <c r="S6" s="31">
        <v>8.2875000000000004E-2</v>
      </c>
      <c r="T6" s="33">
        <v>4.8673000000000001E-2</v>
      </c>
      <c r="U6" s="34">
        <v>3.4260204081632702E-3</v>
      </c>
      <c r="V6" s="35">
        <v>876</v>
      </c>
      <c r="W6" s="34">
        <v>4.0995999999999998E-2</v>
      </c>
      <c r="X6" s="34">
        <v>5.4426000000000002E-2</v>
      </c>
      <c r="Y6" s="25">
        <v>7.6610999999999999E-2</v>
      </c>
      <c r="Z6" s="36">
        <v>3.2188775510204101E-3</v>
      </c>
      <c r="AA6" s="37">
        <v>1380</v>
      </c>
      <c r="AB6" s="36">
        <v>6.9794999999999996E-2</v>
      </c>
      <c r="AC6" s="36">
        <v>8.2413E-2</v>
      </c>
      <c r="AD6" s="38">
        <v>4.6088999999999998E-2</v>
      </c>
      <c r="AE6" s="39">
        <v>3.3660714285714301E-3</v>
      </c>
      <c r="AF6" s="40">
        <v>830</v>
      </c>
      <c r="AG6" s="39">
        <v>3.8545999999999997E-2</v>
      </c>
      <c r="AH6" s="39">
        <v>5.1741000000000002E-2</v>
      </c>
    </row>
    <row r="7" spans="1:34" x14ac:dyDescent="0.6">
      <c r="A7" s="41" t="s">
        <v>52</v>
      </c>
      <c r="B7" s="42">
        <v>3596</v>
      </c>
      <c r="C7" s="43">
        <v>0.19970011662131401</v>
      </c>
      <c r="D7" s="43">
        <v>4.4510411284470697E-2</v>
      </c>
      <c r="E7" s="25">
        <v>0.26091199999999998</v>
      </c>
      <c r="F7" s="44">
        <v>1.1969642857142899E-2</v>
      </c>
      <c r="G7" s="45">
        <v>4698</v>
      </c>
      <c r="H7" s="44">
        <v>0.235515</v>
      </c>
      <c r="I7" s="44">
        <v>0.28243600000000002</v>
      </c>
      <c r="J7" s="46">
        <v>0.19039800000000001</v>
      </c>
      <c r="K7" s="44">
        <v>1.44502551020408E-2</v>
      </c>
      <c r="L7" s="45">
        <v>3428</v>
      </c>
      <c r="M7" s="44">
        <v>0.158528</v>
      </c>
      <c r="N7" s="44">
        <v>0.215173</v>
      </c>
      <c r="O7" s="25">
        <v>0.26158799999999999</v>
      </c>
      <c r="P7" s="44">
        <v>1.16716836734694E-2</v>
      </c>
      <c r="Q7" s="45">
        <v>4710</v>
      </c>
      <c r="R7" s="44">
        <v>0.236704</v>
      </c>
      <c r="S7" s="44">
        <v>0.28245700000000001</v>
      </c>
      <c r="T7" s="46">
        <v>0.19298399999999999</v>
      </c>
      <c r="U7" s="44">
        <v>1.46280612244898E-2</v>
      </c>
      <c r="V7" s="45">
        <v>3475</v>
      </c>
      <c r="W7" s="44">
        <v>0.16008600000000001</v>
      </c>
      <c r="X7" s="44">
        <v>0.21742800000000001</v>
      </c>
      <c r="Y7" s="25">
        <v>0.260272</v>
      </c>
      <c r="Z7" s="44">
        <v>1.1655357142857099E-2</v>
      </c>
      <c r="AA7" s="45">
        <v>4687</v>
      </c>
      <c r="AB7" s="44">
        <v>0.235434</v>
      </c>
      <c r="AC7" s="44">
        <v>0.28112300000000001</v>
      </c>
      <c r="AD7" s="46">
        <v>0.19523699999999999</v>
      </c>
      <c r="AE7" s="44">
        <v>1.41515306122449E-2</v>
      </c>
      <c r="AF7" s="45">
        <v>3516</v>
      </c>
      <c r="AG7" s="44">
        <v>0.162882</v>
      </c>
      <c r="AH7" s="44">
        <v>0.21835599999999999</v>
      </c>
    </row>
    <row r="8" spans="1:34" x14ac:dyDescent="0.6">
      <c r="A8" s="22" t="s">
        <v>53</v>
      </c>
      <c r="B8" s="23">
        <v>187</v>
      </c>
      <c r="C8" s="24">
        <v>1.03848503359805E-2</v>
      </c>
      <c r="D8" s="24">
        <v>3.6551414273089198E-3</v>
      </c>
      <c r="E8" s="25">
        <v>3.7555999999999999E-2</v>
      </c>
      <c r="F8" s="26">
        <v>3.2992346938775499E-3</v>
      </c>
      <c r="G8" s="27">
        <v>676</v>
      </c>
      <c r="H8" s="26">
        <v>3.1616999999999999E-2</v>
      </c>
      <c r="I8" s="26">
        <v>4.4549999999999999E-2</v>
      </c>
      <c r="J8" s="25">
        <v>1.6434000000000001E-2</v>
      </c>
      <c r="K8" s="29">
        <v>1.48469387755102E-3</v>
      </c>
      <c r="L8" s="30">
        <v>296</v>
      </c>
      <c r="M8" s="29">
        <v>1.3668E-2</v>
      </c>
      <c r="N8" s="29">
        <v>1.9487999999999998E-2</v>
      </c>
      <c r="O8" s="25">
        <v>3.7484000000000003E-2</v>
      </c>
      <c r="P8" s="31">
        <v>3.1252551020408202E-3</v>
      </c>
      <c r="Q8" s="32">
        <v>675</v>
      </c>
      <c r="R8" s="31">
        <v>3.1751000000000001E-2</v>
      </c>
      <c r="S8" s="31">
        <v>4.4001999999999999E-2</v>
      </c>
      <c r="T8" s="25">
        <v>1.5115E-2</v>
      </c>
      <c r="U8" s="34">
        <v>1.4191326530612299E-3</v>
      </c>
      <c r="V8" s="35">
        <v>272</v>
      </c>
      <c r="W8" s="34">
        <v>1.2352999999999999E-2</v>
      </c>
      <c r="X8" s="34">
        <v>1.7916000000000001E-2</v>
      </c>
      <c r="Y8" s="25">
        <v>3.7177000000000002E-2</v>
      </c>
      <c r="Z8" s="36">
        <v>3.0859693877551002E-3</v>
      </c>
      <c r="AA8" s="37">
        <v>669</v>
      </c>
      <c r="AB8" s="36">
        <v>3.1484999999999999E-2</v>
      </c>
      <c r="AC8" s="36">
        <v>4.3582000000000003E-2</v>
      </c>
      <c r="AD8" s="25">
        <v>1.5056999999999999E-2</v>
      </c>
      <c r="AE8" s="39">
        <v>1.4204081632653101E-3</v>
      </c>
      <c r="AF8" s="40">
        <v>271</v>
      </c>
      <c r="AG8" s="39">
        <v>1.247E-2</v>
      </c>
      <c r="AH8" s="39">
        <v>1.8037999999999998E-2</v>
      </c>
    </row>
    <row r="9" spans="1:34" x14ac:dyDescent="0.6">
      <c r="A9" s="41" t="s">
        <v>54</v>
      </c>
      <c r="B9" s="42">
        <v>993</v>
      </c>
      <c r="C9" s="43">
        <v>5.5145221302826702E-2</v>
      </c>
      <c r="D9" s="43">
        <v>1.3984485911203401E-2</v>
      </c>
      <c r="E9" s="25">
        <v>0.125913</v>
      </c>
      <c r="F9" s="44">
        <v>4.9484693877551097E-3</v>
      </c>
      <c r="G9" s="45">
        <v>2267</v>
      </c>
      <c r="H9" s="44">
        <v>0.1171</v>
      </c>
      <c r="I9" s="44">
        <v>0.13649800000000001</v>
      </c>
      <c r="J9" s="25">
        <v>4.9112000000000003E-2</v>
      </c>
      <c r="K9" s="44">
        <v>2.9193877551020402E-3</v>
      </c>
      <c r="L9" s="45">
        <v>884</v>
      </c>
      <c r="M9" s="44">
        <v>4.3605999999999999E-2</v>
      </c>
      <c r="N9" s="44">
        <v>5.5050000000000002E-2</v>
      </c>
      <c r="O9" s="25">
        <v>0.125888</v>
      </c>
      <c r="P9" s="44">
        <v>5.0295918367346901E-3</v>
      </c>
      <c r="Q9" s="45">
        <v>2267</v>
      </c>
      <c r="R9" s="44">
        <v>0.117077</v>
      </c>
      <c r="S9" s="44">
        <v>0.136793</v>
      </c>
      <c r="T9" s="46">
        <v>5.0645999999999997E-2</v>
      </c>
      <c r="U9" s="44">
        <v>3.3869897959183698E-3</v>
      </c>
      <c r="V9" s="45">
        <v>912</v>
      </c>
      <c r="W9" s="44">
        <v>4.4450999999999997E-2</v>
      </c>
      <c r="X9" s="44">
        <v>5.7728000000000002E-2</v>
      </c>
      <c r="Y9" s="25">
        <v>0.124777</v>
      </c>
      <c r="Z9" s="44">
        <v>5.0227040816326601E-3</v>
      </c>
      <c r="AA9" s="45">
        <v>2247</v>
      </c>
      <c r="AB9" s="44">
        <v>0.115897</v>
      </c>
      <c r="AC9" s="44">
        <v>0.13558600000000001</v>
      </c>
      <c r="AD9" s="46">
        <v>5.0658000000000002E-2</v>
      </c>
      <c r="AE9" s="44">
        <v>3.31326530612245E-3</v>
      </c>
      <c r="AF9" s="45">
        <v>912</v>
      </c>
      <c r="AG9" s="44">
        <v>4.4961000000000001E-2</v>
      </c>
      <c r="AH9" s="44">
        <v>5.7949000000000001E-2</v>
      </c>
    </row>
    <row r="10" spans="1:34" x14ac:dyDescent="0.6">
      <c r="A10" s="22" t="s">
        <v>55</v>
      </c>
      <c r="B10" s="23">
        <v>2041</v>
      </c>
      <c r="C10" s="24">
        <v>0.11334481035153</v>
      </c>
      <c r="D10" s="24">
        <v>1.8561601550309399E-2</v>
      </c>
      <c r="E10" s="25">
        <v>7.5816999999999996E-2</v>
      </c>
      <c r="F10" s="26">
        <v>4.8568877551020398E-3</v>
      </c>
      <c r="G10" s="27">
        <v>1365</v>
      </c>
      <c r="H10" s="26">
        <v>6.8485000000000004E-2</v>
      </c>
      <c r="I10" s="26">
        <v>8.7524000000000005E-2</v>
      </c>
      <c r="J10" s="28">
        <v>0.107297</v>
      </c>
      <c r="K10" s="29">
        <v>5.0017857142857104E-3</v>
      </c>
      <c r="L10" s="30">
        <v>1932</v>
      </c>
      <c r="M10" s="29">
        <v>9.8933999999999994E-2</v>
      </c>
      <c r="N10" s="29">
        <v>0.11854099999999999</v>
      </c>
      <c r="O10" s="25">
        <v>7.7197000000000002E-2</v>
      </c>
      <c r="P10" s="31">
        <v>4.2750000000000002E-3</v>
      </c>
      <c r="Q10" s="32">
        <v>1390</v>
      </c>
      <c r="R10" s="31">
        <v>7.1031999999999998E-2</v>
      </c>
      <c r="S10" s="31">
        <v>8.7790000000000007E-2</v>
      </c>
      <c r="T10" s="33">
        <v>0.108166</v>
      </c>
      <c r="U10" s="34">
        <v>4.5293367346938796E-3</v>
      </c>
      <c r="V10" s="35">
        <v>1948</v>
      </c>
      <c r="W10" s="34">
        <v>0.100926</v>
      </c>
      <c r="X10" s="34">
        <v>0.11868099999999999</v>
      </c>
      <c r="Y10" s="25">
        <v>7.8079999999999997E-2</v>
      </c>
      <c r="Z10" s="36">
        <v>4.2951530612244902E-3</v>
      </c>
      <c r="AA10" s="37">
        <v>1406</v>
      </c>
      <c r="AB10" s="36">
        <v>7.1882000000000001E-2</v>
      </c>
      <c r="AC10" s="36">
        <v>8.8719000000000006E-2</v>
      </c>
      <c r="AD10" s="38">
        <v>0.108372</v>
      </c>
      <c r="AE10" s="39">
        <v>4.6502551020408201E-3</v>
      </c>
      <c r="AF10" s="40">
        <v>1951</v>
      </c>
      <c r="AG10" s="39">
        <v>0.10159</v>
      </c>
      <c r="AH10" s="39">
        <v>0.11981899999999999</v>
      </c>
    </row>
    <row r="11" spans="1:34" x14ac:dyDescent="0.6">
      <c r="A11" s="41" t="s">
        <v>56</v>
      </c>
      <c r="B11" s="42">
        <v>5665</v>
      </c>
      <c r="C11" s="43">
        <v>0.31459987782528998</v>
      </c>
      <c r="D11" s="43">
        <v>1.93126507840869E-2</v>
      </c>
      <c r="E11" s="25">
        <v>0.254189</v>
      </c>
      <c r="F11" s="44">
        <v>7.3474489795918403E-3</v>
      </c>
      <c r="G11" s="45">
        <v>4577</v>
      </c>
      <c r="H11" s="44">
        <v>0.240675</v>
      </c>
      <c r="I11" s="44">
        <v>0.26947700000000002</v>
      </c>
      <c r="J11" s="46">
        <v>0.32064500000000001</v>
      </c>
      <c r="K11" s="44">
        <v>6.6660714285714301E-3</v>
      </c>
      <c r="L11" s="45">
        <v>5774</v>
      </c>
      <c r="M11" s="44">
        <v>0.31045200000000001</v>
      </c>
      <c r="N11" s="44">
        <v>0.33658300000000002</v>
      </c>
      <c r="O11" s="25">
        <v>0.25290000000000001</v>
      </c>
      <c r="P11" s="44">
        <v>7.1329081632653E-3</v>
      </c>
      <c r="Q11" s="45">
        <v>4554</v>
      </c>
      <c r="R11" s="44">
        <v>0.24037</v>
      </c>
      <c r="S11" s="44">
        <v>0.26833099999999999</v>
      </c>
      <c r="T11" s="46">
        <v>0.31965100000000002</v>
      </c>
      <c r="U11" s="44">
        <v>7.5647959183673501E-3</v>
      </c>
      <c r="V11" s="45">
        <v>5756</v>
      </c>
      <c r="W11" s="44">
        <v>0.30957499999999999</v>
      </c>
      <c r="X11" s="44">
        <v>0.339229</v>
      </c>
      <c r="Y11" s="25">
        <v>0.25465700000000002</v>
      </c>
      <c r="Z11" s="44">
        <v>7.0989795918367299E-3</v>
      </c>
      <c r="AA11" s="45">
        <v>4586</v>
      </c>
      <c r="AB11" s="44">
        <v>0.24218600000000001</v>
      </c>
      <c r="AC11" s="44">
        <v>0.27001399999999998</v>
      </c>
      <c r="AD11" s="46">
        <v>0.319822</v>
      </c>
      <c r="AE11" s="44">
        <v>6.6711734693877698E-3</v>
      </c>
      <c r="AF11" s="45">
        <v>5759</v>
      </c>
      <c r="AG11" s="44">
        <v>0.31037999999999999</v>
      </c>
      <c r="AH11" s="44">
        <v>0.33653100000000002</v>
      </c>
    </row>
    <row r="12" spans="1:34" x14ac:dyDescent="0.6">
      <c r="A12" s="47" t="s">
        <v>160</v>
      </c>
      <c r="B12" s="48">
        <v>18007</v>
      </c>
      <c r="C12" s="49">
        <v>1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</row>
    <row r="13" spans="1:34" x14ac:dyDescent="0.6">
      <c r="A13" s="380" t="s">
        <v>295</v>
      </c>
      <c r="B13" s="341"/>
      <c r="C13" s="341"/>
      <c r="D13" s="342"/>
      <c r="E13" s="376" t="s">
        <v>296</v>
      </c>
      <c r="F13" s="341"/>
      <c r="G13" s="341"/>
      <c r="H13" s="341"/>
      <c r="I13" s="342"/>
      <c r="J13" s="379" t="s">
        <v>297</v>
      </c>
      <c r="K13" s="341"/>
      <c r="L13" s="341"/>
      <c r="M13" s="341"/>
      <c r="N13" s="342"/>
      <c r="O13" s="376" t="s">
        <v>298</v>
      </c>
      <c r="P13" s="341"/>
      <c r="Q13" s="341"/>
      <c r="R13" s="341"/>
      <c r="S13" s="342"/>
      <c r="T13" s="379" t="s">
        <v>299</v>
      </c>
      <c r="U13" s="341"/>
      <c r="V13" s="341"/>
      <c r="W13" s="341"/>
      <c r="X13" s="342"/>
      <c r="Y13" s="376" t="s">
        <v>300</v>
      </c>
      <c r="Z13" s="341"/>
      <c r="AA13" s="341"/>
      <c r="AB13" s="341"/>
      <c r="AC13" s="342"/>
      <c r="AD13" s="379" t="s">
        <v>301</v>
      </c>
      <c r="AE13" s="341"/>
      <c r="AF13" s="341"/>
      <c r="AG13" s="341"/>
      <c r="AH13" s="342"/>
    </row>
    <row r="14" spans="1:34" x14ac:dyDescent="0.6">
      <c r="A14" s="346" t="s">
        <v>302</v>
      </c>
      <c r="B14" s="341"/>
      <c r="C14" s="341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</row>
  </sheetData>
  <mergeCells count="16">
    <mergeCell ref="A14:AH14"/>
    <mergeCell ref="AD2:AH2"/>
    <mergeCell ref="E13:I13"/>
    <mergeCell ref="A1:AH1"/>
    <mergeCell ref="A2:D2"/>
    <mergeCell ref="J13:N13"/>
    <mergeCell ref="Y13:AC13"/>
    <mergeCell ref="O13:S13"/>
    <mergeCell ref="A13:D13"/>
    <mergeCell ref="T13:X13"/>
    <mergeCell ref="AD13:AH13"/>
    <mergeCell ref="O2:S2"/>
    <mergeCell ref="T2:X2"/>
    <mergeCell ref="E2:I2"/>
    <mergeCell ref="J2:N2"/>
    <mergeCell ref="Y2:A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"/>
  <sheetViews>
    <sheetView tabSelected="1" workbookViewId="0">
      <selection activeCell="M19" sqref="M19"/>
    </sheetView>
  </sheetViews>
  <sheetFormatPr defaultColWidth="8.7890625" defaultRowHeight="15.6" x14ac:dyDescent="0.6"/>
  <cols>
    <col min="1" max="1" width="7.15625" style="3" bestFit="1" customWidth="1"/>
    <col min="2" max="2" width="12.7890625" style="3" bestFit="1" customWidth="1"/>
    <col min="3" max="3" width="12.1015625" style="3" bestFit="1" customWidth="1"/>
    <col min="4" max="4" width="11.1015625" style="3" bestFit="1" customWidth="1"/>
    <col min="5" max="5" width="15.1015625" style="3" bestFit="1" customWidth="1"/>
    <col min="6" max="6" width="8.15625" style="3" bestFit="1" customWidth="1"/>
    <col min="7" max="7" width="12.5234375" style="3" bestFit="1" customWidth="1"/>
    <col min="8" max="8" width="12.47265625" style="3" bestFit="1" customWidth="1"/>
    <col min="9" max="10" width="13.89453125" style="3" bestFit="1" customWidth="1"/>
    <col min="11" max="11" width="92.47265625" style="3" bestFit="1" customWidth="1"/>
    <col min="12" max="12" width="8.7890625" style="3" customWidth="1"/>
    <col min="13" max="16384" width="8.7890625" style="3"/>
  </cols>
  <sheetData>
    <row r="1" spans="1:11" ht="15.9" customHeight="1" thickBot="1" x14ac:dyDescent="0.65">
      <c r="A1" s="387" t="s">
        <v>394</v>
      </c>
      <c r="B1" s="326"/>
      <c r="C1" s="326"/>
      <c r="D1" s="326"/>
      <c r="E1" s="326"/>
      <c r="F1" s="326"/>
      <c r="G1" s="326"/>
      <c r="H1" s="326"/>
      <c r="I1" s="326"/>
      <c r="J1" s="326"/>
      <c r="K1" s="388"/>
    </row>
    <row r="2" spans="1:11" ht="30.25" customHeight="1" thickBot="1" x14ac:dyDescent="0.65">
      <c r="A2" s="204" t="s">
        <v>219</v>
      </c>
      <c r="B2" s="204" t="s">
        <v>303</v>
      </c>
      <c r="C2" s="204" t="s">
        <v>304</v>
      </c>
      <c r="D2" s="204" t="s">
        <v>305</v>
      </c>
      <c r="E2" s="278" t="s">
        <v>306</v>
      </c>
      <c r="F2" s="205" t="s">
        <v>307</v>
      </c>
      <c r="G2" s="205" t="s">
        <v>308</v>
      </c>
      <c r="H2" s="205" t="s">
        <v>309</v>
      </c>
      <c r="I2" s="205" t="s">
        <v>310</v>
      </c>
      <c r="J2" s="205" t="s">
        <v>311</v>
      </c>
      <c r="K2" s="279" t="s">
        <v>10</v>
      </c>
    </row>
    <row r="3" spans="1:11" x14ac:dyDescent="0.6">
      <c r="A3" s="185" t="s">
        <v>176</v>
      </c>
      <c r="B3" s="187" t="s">
        <v>312</v>
      </c>
      <c r="C3" s="187" t="s">
        <v>313</v>
      </c>
      <c r="D3" s="280" t="s">
        <v>314</v>
      </c>
      <c r="E3" s="281">
        <v>1.2075000000000001E-2</v>
      </c>
      <c r="F3" s="216" t="s">
        <v>315</v>
      </c>
      <c r="G3" s="187" t="s">
        <v>316</v>
      </c>
      <c r="H3" s="187" t="s">
        <v>317</v>
      </c>
      <c r="I3" s="187" t="s">
        <v>318</v>
      </c>
      <c r="J3" s="187" t="s">
        <v>319</v>
      </c>
      <c r="K3" s="213" t="s">
        <v>320</v>
      </c>
    </row>
    <row r="4" spans="1:11" x14ac:dyDescent="0.6">
      <c r="A4" s="185" t="s">
        <v>176</v>
      </c>
      <c r="B4" s="187" t="s">
        <v>321</v>
      </c>
      <c r="C4" s="187" t="s">
        <v>313</v>
      </c>
      <c r="D4" s="215" t="s">
        <v>322</v>
      </c>
      <c r="E4" s="281">
        <v>8.0590000000000002E-3</v>
      </c>
      <c r="F4" s="187" t="s">
        <v>323</v>
      </c>
      <c r="G4" s="187" t="s">
        <v>324</v>
      </c>
      <c r="H4" s="187" t="s">
        <v>325</v>
      </c>
      <c r="I4" s="187" t="s">
        <v>326</v>
      </c>
      <c r="J4" s="187" t="s">
        <v>327</v>
      </c>
      <c r="K4" s="213" t="s">
        <v>328</v>
      </c>
    </row>
    <row r="5" spans="1:11" x14ac:dyDescent="0.6">
      <c r="A5" s="206" t="s">
        <v>185</v>
      </c>
      <c r="B5" s="209" t="s">
        <v>312</v>
      </c>
      <c r="C5" s="209" t="s">
        <v>329</v>
      </c>
      <c r="D5" s="282" t="s">
        <v>330</v>
      </c>
      <c r="E5" s="281">
        <v>7.7390000000000002E-3</v>
      </c>
      <c r="F5" s="283" t="s">
        <v>331</v>
      </c>
      <c r="G5" s="209" t="s">
        <v>332</v>
      </c>
      <c r="H5" s="209" t="s">
        <v>333</v>
      </c>
      <c r="I5" s="209" t="s">
        <v>330</v>
      </c>
      <c r="J5" s="209" t="s">
        <v>330</v>
      </c>
      <c r="K5" s="207" t="s">
        <v>334</v>
      </c>
    </row>
    <row r="6" spans="1:11" x14ac:dyDescent="0.6">
      <c r="A6" s="206" t="s">
        <v>185</v>
      </c>
      <c r="B6" s="209" t="s">
        <v>312</v>
      </c>
      <c r="C6" s="209" t="s">
        <v>313</v>
      </c>
      <c r="D6" s="284" t="s">
        <v>335</v>
      </c>
      <c r="E6" s="281">
        <v>1.1851E-2</v>
      </c>
      <c r="F6" s="285" t="s">
        <v>336</v>
      </c>
      <c r="G6" s="209" t="s">
        <v>337</v>
      </c>
      <c r="H6" s="209" t="s">
        <v>338</v>
      </c>
      <c r="I6" s="209" t="s">
        <v>339</v>
      </c>
      <c r="J6" s="209" t="s">
        <v>340</v>
      </c>
      <c r="K6" s="207" t="s">
        <v>341</v>
      </c>
    </row>
    <row r="7" spans="1:11" x14ac:dyDescent="0.6">
      <c r="A7" s="206" t="s">
        <v>185</v>
      </c>
      <c r="B7" s="209" t="s">
        <v>321</v>
      </c>
      <c r="C7" s="209" t="s">
        <v>313</v>
      </c>
      <c r="D7" s="211" t="s">
        <v>342</v>
      </c>
      <c r="E7" s="281">
        <v>8.3160000000000005E-3</v>
      </c>
      <c r="F7" s="209" t="s">
        <v>343</v>
      </c>
      <c r="G7" s="209" t="s">
        <v>344</v>
      </c>
      <c r="H7" s="209" t="s">
        <v>345</v>
      </c>
      <c r="I7" s="209" t="s">
        <v>346</v>
      </c>
      <c r="J7" s="209" t="s">
        <v>347</v>
      </c>
      <c r="K7" s="207" t="s">
        <v>348</v>
      </c>
    </row>
    <row r="8" spans="1:11" x14ac:dyDescent="0.6">
      <c r="A8" s="286" t="s">
        <v>192</v>
      </c>
      <c r="B8" s="287" t="s">
        <v>312</v>
      </c>
      <c r="C8" s="287" t="s">
        <v>329</v>
      </c>
      <c r="D8" s="288" t="s">
        <v>330</v>
      </c>
      <c r="E8" s="281">
        <v>1.3592E-2</v>
      </c>
      <c r="F8" s="289" t="s">
        <v>331</v>
      </c>
      <c r="G8" s="287" t="s">
        <v>349</v>
      </c>
      <c r="H8" s="287" t="s">
        <v>333</v>
      </c>
      <c r="I8" s="287" t="s">
        <v>330</v>
      </c>
      <c r="J8" s="287" t="s">
        <v>330</v>
      </c>
      <c r="K8" s="290" t="s">
        <v>350</v>
      </c>
    </row>
    <row r="9" spans="1:11" x14ac:dyDescent="0.6">
      <c r="A9" s="286" t="s">
        <v>192</v>
      </c>
      <c r="B9" s="287" t="s">
        <v>312</v>
      </c>
      <c r="C9" s="287" t="s">
        <v>351</v>
      </c>
      <c r="D9" s="291" t="s">
        <v>352</v>
      </c>
      <c r="E9" s="281" t="s">
        <v>203</v>
      </c>
      <c r="F9" s="289" t="s">
        <v>203</v>
      </c>
      <c r="G9" s="287" t="s">
        <v>203</v>
      </c>
      <c r="H9" s="287" t="s">
        <v>203</v>
      </c>
      <c r="I9" s="287" t="s">
        <v>353</v>
      </c>
      <c r="J9" s="287" t="s">
        <v>353</v>
      </c>
      <c r="K9" s="290" t="s">
        <v>354</v>
      </c>
    </row>
    <row r="10" spans="1:11" x14ac:dyDescent="0.6">
      <c r="A10" s="286" t="s">
        <v>192</v>
      </c>
      <c r="B10" s="287" t="s">
        <v>321</v>
      </c>
      <c r="C10" s="287" t="s">
        <v>351</v>
      </c>
      <c r="D10" s="291" t="s">
        <v>352</v>
      </c>
      <c r="E10" s="281" t="s">
        <v>203</v>
      </c>
      <c r="F10" s="289" t="s">
        <v>203</v>
      </c>
      <c r="G10" s="287" t="s">
        <v>203</v>
      </c>
      <c r="H10" s="287" t="s">
        <v>203</v>
      </c>
      <c r="I10" s="287" t="s">
        <v>353</v>
      </c>
      <c r="J10" s="287" t="s">
        <v>353</v>
      </c>
      <c r="K10" s="290" t="s">
        <v>354</v>
      </c>
    </row>
    <row r="11" spans="1:11" x14ac:dyDescent="0.6">
      <c r="A11" s="286" t="s">
        <v>192</v>
      </c>
      <c r="B11" s="287" t="s">
        <v>355</v>
      </c>
      <c r="C11" s="287" t="s">
        <v>351</v>
      </c>
      <c r="D11" s="288" t="s">
        <v>356</v>
      </c>
      <c r="E11" s="281">
        <v>1.2064E-2</v>
      </c>
      <c r="F11" s="289" t="s">
        <v>331</v>
      </c>
      <c r="G11" s="287" t="s">
        <v>357</v>
      </c>
      <c r="H11" s="287" t="s">
        <v>358</v>
      </c>
      <c r="I11" s="287" t="s">
        <v>356</v>
      </c>
      <c r="J11" s="287" t="s">
        <v>356</v>
      </c>
      <c r="K11" s="290" t="s">
        <v>359</v>
      </c>
    </row>
    <row r="12" spans="1:11" x14ac:dyDescent="0.6">
      <c r="A12" s="286" t="s">
        <v>192</v>
      </c>
      <c r="B12" s="287" t="s">
        <v>312</v>
      </c>
      <c r="C12" s="287" t="s">
        <v>313</v>
      </c>
      <c r="D12" s="292" t="s">
        <v>360</v>
      </c>
      <c r="E12" s="281">
        <v>1.1923E-2</v>
      </c>
      <c r="F12" s="293" t="s">
        <v>361</v>
      </c>
      <c r="G12" s="287" t="s">
        <v>362</v>
      </c>
      <c r="H12" s="287" t="s">
        <v>363</v>
      </c>
      <c r="I12" s="287" t="s">
        <v>364</v>
      </c>
      <c r="J12" s="287" t="s">
        <v>365</v>
      </c>
      <c r="K12" s="290" t="s">
        <v>366</v>
      </c>
    </row>
    <row r="13" spans="1:11" x14ac:dyDescent="0.6">
      <c r="A13" s="286" t="s">
        <v>192</v>
      </c>
      <c r="B13" s="287" t="s">
        <v>321</v>
      </c>
      <c r="C13" s="287" t="s">
        <v>313</v>
      </c>
      <c r="D13" s="294" t="s">
        <v>367</v>
      </c>
      <c r="E13" s="281">
        <v>8.6250000000000007E-3</v>
      </c>
      <c r="F13" s="287" t="s">
        <v>368</v>
      </c>
      <c r="G13" s="287" t="s">
        <v>369</v>
      </c>
      <c r="H13" s="287" t="s">
        <v>370</v>
      </c>
      <c r="I13" s="287" t="s">
        <v>371</v>
      </c>
      <c r="J13" s="287" t="s">
        <v>372</v>
      </c>
      <c r="K13" s="290" t="s">
        <v>373</v>
      </c>
    </row>
    <row r="14" spans="1:11" x14ac:dyDescent="0.6">
      <c r="A14" s="386" t="s">
        <v>374</v>
      </c>
      <c r="B14" s="341"/>
      <c r="C14" s="341"/>
      <c r="D14" s="341"/>
      <c r="E14" s="341"/>
      <c r="F14" s="341"/>
      <c r="G14" s="341"/>
      <c r="H14" s="341"/>
      <c r="I14" s="341"/>
      <c r="J14" s="341"/>
      <c r="K14" s="342"/>
    </row>
  </sheetData>
  <mergeCells count="2">
    <mergeCell ref="A14:K14"/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13d245-27f3-49d7-8f3a-2309c30961f9" xsi:nil="true"/>
    <lcf76f155ced4ddcb4097134ff3c332f xmlns="252de778-ebfc-4cb9-9a24-d6ab97953d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BED44041CA1F4297E1649248291EB0" ma:contentTypeVersion="13" ma:contentTypeDescription="Create a new document." ma:contentTypeScope="" ma:versionID="1baeb10e87548c25103885899b3affd9">
  <xsd:schema xmlns:xsd="http://www.w3.org/2001/XMLSchema" xmlns:xs="http://www.w3.org/2001/XMLSchema" xmlns:p="http://schemas.microsoft.com/office/2006/metadata/properties" xmlns:ns2="252de778-ebfc-4cb9-9a24-d6ab97953d8c" xmlns:ns3="7c13d245-27f3-49d7-8f3a-2309c30961f9" targetNamespace="http://schemas.microsoft.com/office/2006/metadata/properties" ma:root="true" ma:fieldsID="d5825d343aca4a9bc8756910bbd341db" ns2:_="" ns3:_="">
    <xsd:import namespace="252de778-ebfc-4cb9-9a24-d6ab97953d8c"/>
    <xsd:import namespace="7c13d245-27f3-49d7-8f3a-2309c3096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de778-ebfc-4cb9-9a24-d6ab97953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cd466c-82b6-42a3-8ba5-5c7db8340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3d245-27f3-49d7-8f3a-2309c30961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60bd30-009d-4c00-9c7d-04fa102315d1}" ma:internalName="TaxCatchAll" ma:showField="CatchAllData" ma:web="7c13d245-27f3-49d7-8f3a-2309c30961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EED7BD-84DA-46F3-82D2-A149058DBB38}">
  <ds:schemaRefs>
    <ds:schemaRef ds:uri="http://schemas.microsoft.com/office/2006/metadata/properties"/>
    <ds:schemaRef ds:uri="http://schemas.microsoft.com/office/infopath/2007/PartnerControls"/>
    <ds:schemaRef ds:uri="7c13d245-27f3-49d7-8f3a-2309c30961f9"/>
    <ds:schemaRef ds:uri="252de778-ebfc-4cb9-9a24-d6ab97953d8c"/>
  </ds:schemaRefs>
</ds:datastoreItem>
</file>

<file path=customXml/itemProps2.xml><?xml version="1.0" encoding="utf-8"?>
<ds:datastoreItem xmlns:ds="http://schemas.openxmlformats.org/officeDocument/2006/customXml" ds:itemID="{75C558B6-13F2-4869-8242-06C7C2A65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de778-ebfc-4cb9-9a24-d6ab97953d8c"/>
    <ds:schemaRef ds:uri="7c13d245-27f3-49d7-8f3a-2309c3096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E7B4BA-036C-4FD2-B64D-CF55BD6861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S2A</vt:lpstr>
      <vt:lpstr>Table S2B</vt:lpstr>
      <vt:lpstr>Table S2C</vt:lpstr>
      <vt:lpstr>Table S2D</vt:lpstr>
      <vt:lpstr>Table S2E</vt:lpstr>
      <vt:lpstr>Table S2F</vt:lpstr>
      <vt:lpstr>Table S2G</vt:lpstr>
      <vt:lpstr>Table S2H</vt:lpstr>
      <vt:lpstr>Table S2I</vt:lpstr>
      <vt:lpstr>Table S2J</vt:lpstr>
      <vt:lpstr>Table S2K</vt:lpstr>
      <vt:lpstr>Table S2L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Hoff, Peter</cp:lastModifiedBy>
  <dcterms:created xsi:type="dcterms:W3CDTF">2026-02-05T16:40:35Z</dcterms:created>
  <dcterms:modified xsi:type="dcterms:W3CDTF">2026-09-17T22:38:16Z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0x01010009BED44041CA1F4297E1649248291EB0</vt:lpwstr>
  </property>
</Properties>
</file>